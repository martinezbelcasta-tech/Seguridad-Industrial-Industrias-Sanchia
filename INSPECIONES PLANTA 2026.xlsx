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oneladas status general\"/>
    </mc:Choice>
  </mc:AlternateContent>
  <xr:revisionPtr revIDLastSave="0" documentId="8_{0A53E844-8CF9-491D-8E3B-990EC1C89F5A}" xr6:coauthVersionLast="47" xr6:coauthVersionMax="47" xr10:uidLastSave="{00000000-0000-0000-0000-000000000000}"/>
  <bookViews>
    <workbookView xWindow="-108" yWindow="-108" windowWidth="23256" windowHeight="13896" firstSheet="10" activeTab="10" xr2:uid="{00000000-000D-0000-FFFF-FFFF00000000}"/>
  </bookViews>
  <sheets>
    <sheet name="Check-list" sheetId="2" state="hidden" r:id="rId1"/>
    <sheet name="Maquinas07 (2)" sheetId="9" state="hidden" r:id="rId2"/>
    <sheet name="Ins planta Enero 2026 (2)" sheetId="22" state="hidden" r:id="rId3"/>
    <sheet name="Isp Bodega Enero 2026 (2)" sheetId="23" state="hidden" r:id="rId4"/>
    <sheet name="Ins planta Febrero 2026 (2)" sheetId="24" state="hidden" r:id="rId5"/>
    <sheet name="Isp Bodega Febrero 2026 (2)" sheetId="25" state="hidden" r:id="rId6"/>
    <sheet name="Ins planta Marzo 2026 (2)" sheetId="26" state="hidden" r:id="rId7"/>
    <sheet name="Isp Bodega Marzo 2026 (2)" sheetId="27" state="hidden" r:id="rId8"/>
    <sheet name="Ins planta Abril 2026 (2)" sheetId="28" state="hidden" r:id="rId9"/>
    <sheet name="Isp Bodega ABRIL 2026 (2)" sheetId="29" state="hidden" r:id="rId10"/>
    <sheet name="Ins planta Mayo 2026" sheetId="13" r:id="rId11"/>
    <sheet name="Isp Bodega Mayo 2026" sheetId="11" state="hidden" r:id="rId12"/>
    <sheet name="Hoja1" sheetId="21" state="hidden" r:id="rId13"/>
    <sheet name="Hoja3" sheetId="20" state="hidden" r:id="rId14"/>
  </sheets>
  <definedNames>
    <definedName name="_xlnm.Print_Area" localSheetId="0">'Check-list'!$B$1:$G$53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3" l="1"/>
  <c r="J40" i="13"/>
  <c r="G23" i="13"/>
  <c r="D23" i="13"/>
  <c r="J23" i="13"/>
  <c r="D59" i="13"/>
  <c r="G59" i="13"/>
  <c r="D104" i="13"/>
  <c r="S120" i="29"/>
  <c r="P120" i="29"/>
  <c r="M120" i="29"/>
  <c r="J120" i="29"/>
  <c r="G120" i="29"/>
  <c r="D120" i="29"/>
  <c r="S108" i="29"/>
  <c r="P108" i="29"/>
  <c r="M108" i="29"/>
  <c r="J108" i="29"/>
  <c r="G108" i="29"/>
  <c r="D108" i="29"/>
  <c r="S96" i="29"/>
  <c r="P96" i="29"/>
  <c r="M96" i="29"/>
  <c r="J96" i="29"/>
  <c r="G96" i="29"/>
  <c r="D96" i="29"/>
  <c r="S76" i="29"/>
  <c r="P76" i="29"/>
  <c r="M76" i="29"/>
  <c r="J76" i="29"/>
  <c r="G76" i="29"/>
  <c r="D76" i="29"/>
  <c r="S61" i="29"/>
  <c r="P61" i="29"/>
  <c r="M61" i="29"/>
  <c r="J61" i="29"/>
  <c r="G61" i="29"/>
  <c r="D61" i="29"/>
  <c r="S49" i="29"/>
  <c r="P49" i="29"/>
  <c r="M49" i="29"/>
  <c r="J49" i="29"/>
  <c r="G49" i="29"/>
  <c r="D49" i="29"/>
  <c r="S32" i="29"/>
  <c r="P32" i="29"/>
  <c r="M32" i="29"/>
  <c r="J32" i="29"/>
  <c r="G32" i="29"/>
  <c r="D32" i="29"/>
  <c r="S17" i="29"/>
  <c r="P17" i="29"/>
  <c r="M17" i="29"/>
  <c r="J17" i="29"/>
  <c r="G17" i="29"/>
  <c r="D17" i="29"/>
  <c r="K2" i="29"/>
  <c r="N2" i="29" s="1"/>
  <c r="Q2" i="29" s="1"/>
  <c r="S117" i="28"/>
  <c r="P117" i="28"/>
  <c r="M117" i="28"/>
  <c r="J117" i="28"/>
  <c r="G117" i="28"/>
  <c r="D117" i="28"/>
  <c r="S102" i="28"/>
  <c r="P102" i="28"/>
  <c r="M102" i="28"/>
  <c r="J102" i="28"/>
  <c r="G102" i="28"/>
  <c r="D102" i="28"/>
  <c r="S84" i="28"/>
  <c r="P84" i="28"/>
  <c r="M84" i="28"/>
  <c r="J84" i="28"/>
  <c r="G84" i="28"/>
  <c r="D84" i="28"/>
  <c r="S78" i="28"/>
  <c r="P78" i="28"/>
  <c r="M78" i="28"/>
  <c r="J78" i="28"/>
  <c r="G78" i="28"/>
  <c r="D78" i="28"/>
  <c r="S63" i="28"/>
  <c r="P63" i="28"/>
  <c r="M63" i="28"/>
  <c r="J63" i="28"/>
  <c r="G63" i="28"/>
  <c r="D63" i="28"/>
  <c r="S57" i="28"/>
  <c r="P57" i="28"/>
  <c r="M57" i="28"/>
  <c r="J57" i="28"/>
  <c r="G57" i="28"/>
  <c r="D57" i="28"/>
  <c r="S38" i="28"/>
  <c r="P38" i="28"/>
  <c r="M38" i="28"/>
  <c r="J38" i="28"/>
  <c r="G38" i="28"/>
  <c r="D38" i="28"/>
  <c r="S21" i="28"/>
  <c r="P21" i="28"/>
  <c r="M21" i="28"/>
  <c r="J21" i="28"/>
  <c r="G21" i="28"/>
  <c r="D21" i="28"/>
  <c r="K3" i="28"/>
  <c r="N3" i="28" s="1"/>
  <c r="Q3" i="28" s="1"/>
  <c r="D119" i="13"/>
  <c r="S120" i="27"/>
  <c r="P120" i="27"/>
  <c r="M120" i="27"/>
  <c r="J120" i="27"/>
  <c r="G120" i="27"/>
  <c r="D120" i="27"/>
  <c r="S108" i="27"/>
  <c r="P108" i="27"/>
  <c r="M108" i="27"/>
  <c r="J108" i="27"/>
  <c r="G108" i="27"/>
  <c r="D108" i="27"/>
  <c r="S96" i="27"/>
  <c r="P96" i="27"/>
  <c r="M96" i="27"/>
  <c r="J96" i="27"/>
  <c r="G96" i="27"/>
  <c r="D96" i="27"/>
  <c r="S76" i="27"/>
  <c r="P76" i="27"/>
  <c r="M76" i="27"/>
  <c r="J76" i="27"/>
  <c r="G76" i="27"/>
  <c r="D76" i="27"/>
  <c r="S61" i="27"/>
  <c r="P61" i="27"/>
  <c r="M61" i="27"/>
  <c r="J61" i="27"/>
  <c r="G61" i="27"/>
  <c r="D61" i="27"/>
  <c r="S49" i="27"/>
  <c r="P49" i="27"/>
  <c r="M49" i="27"/>
  <c r="J49" i="27"/>
  <c r="G49" i="27"/>
  <c r="D49" i="27"/>
  <c r="S32" i="27"/>
  <c r="P32" i="27"/>
  <c r="M32" i="27"/>
  <c r="J32" i="27"/>
  <c r="G32" i="27"/>
  <c r="D32" i="27"/>
  <c r="S17" i="27"/>
  <c r="P17" i="27"/>
  <c r="M17" i="27"/>
  <c r="J17" i="27"/>
  <c r="G17" i="27"/>
  <c r="D17" i="27"/>
  <c r="K2" i="27"/>
  <c r="N2" i="27" s="1"/>
  <c r="Q2" i="27" s="1"/>
  <c r="S116" i="26"/>
  <c r="P116" i="26"/>
  <c r="M116" i="26"/>
  <c r="J116" i="26"/>
  <c r="G116" i="26"/>
  <c r="D116" i="26"/>
  <c r="S101" i="26"/>
  <c r="P101" i="26"/>
  <c r="M101" i="26"/>
  <c r="J101" i="26"/>
  <c r="G101" i="26"/>
  <c r="D101" i="26"/>
  <c r="S83" i="26"/>
  <c r="P83" i="26"/>
  <c r="M83" i="26"/>
  <c r="J83" i="26"/>
  <c r="G83" i="26"/>
  <c r="D83" i="26"/>
  <c r="S77" i="26"/>
  <c r="P77" i="26"/>
  <c r="M77" i="26"/>
  <c r="J77" i="26"/>
  <c r="G77" i="26"/>
  <c r="D77" i="26"/>
  <c r="S62" i="26"/>
  <c r="P62" i="26"/>
  <c r="M62" i="26"/>
  <c r="J62" i="26"/>
  <c r="G62" i="26"/>
  <c r="D62" i="26"/>
  <c r="S56" i="26"/>
  <c r="P56" i="26"/>
  <c r="M56" i="26"/>
  <c r="J56" i="26"/>
  <c r="G56" i="26"/>
  <c r="D56" i="26"/>
  <c r="S38" i="26"/>
  <c r="P38" i="26"/>
  <c r="M38" i="26"/>
  <c r="J38" i="26"/>
  <c r="G38" i="26"/>
  <c r="D38" i="26"/>
  <c r="S21" i="26"/>
  <c r="P21" i="26"/>
  <c r="M21" i="26"/>
  <c r="J21" i="26"/>
  <c r="G21" i="26"/>
  <c r="D21" i="26"/>
  <c r="N3" i="26"/>
  <c r="Q3" i="26" s="1"/>
  <c r="K3" i="26"/>
  <c r="S120" i="25"/>
  <c r="P120" i="25"/>
  <c r="M120" i="25"/>
  <c r="J120" i="25"/>
  <c r="G120" i="25"/>
  <c r="D120" i="25"/>
  <c r="S108" i="25"/>
  <c r="P108" i="25"/>
  <c r="M108" i="25"/>
  <c r="J108" i="25"/>
  <c r="G108" i="25"/>
  <c r="D108" i="25"/>
  <c r="S96" i="25"/>
  <c r="P96" i="25"/>
  <c r="M96" i="25"/>
  <c r="J96" i="25"/>
  <c r="G96" i="25"/>
  <c r="D96" i="25"/>
  <c r="S76" i="25"/>
  <c r="P76" i="25"/>
  <c r="M76" i="25"/>
  <c r="J76" i="25"/>
  <c r="G76" i="25"/>
  <c r="D76" i="25"/>
  <c r="S61" i="25"/>
  <c r="P61" i="25"/>
  <c r="M61" i="25"/>
  <c r="J61" i="25"/>
  <c r="G61" i="25"/>
  <c r="D61" i="25"/>
  <c r="S49" i="25"/>
  <c r="P49" i="25"/>
  <c r="M49" i="25"/>
  <c r="J49" i="25"/>
  <c r="G49" i="25"/>
  <c r="D49" i="25"/>
  <c r="S32" i="25"/>
  <c r="P32" i="25"/>
  <c r="M32" i="25"/>
  <c r="J32" i="25"/>
  <c r="G32" i="25"/>
  <c r="D32" i="25"/>
  <c r="S17" i="25"/>
  <c r="P17" i="25"/>
  <c r="M17" i="25"/>
  <c r="J17" i="25"/>
  <c r="G17" i="25"/>
  <c r="D17" i="25"/>
  <c r="K2" i="25"/>
  <c r="N2" i="25" s="1"/>
  <c r="Q2" i="25" s="1"/>
  <c r="S116" i="24"/>
  <c r="P116" i="24"/>
  <c r="M116" i="24"/>
  <c r="J116" i="24"/>
  <c r="G116" i="24"/>
  <c r="D116" i="24"/>
  <c r="S101" i="24"/>
  <c r="P101" i="24"/>
  <c r="M101" i="24"/>
  <c r="J101" i="24"/>
  <c r="G101" i="24"/>
  <c r="D101" i="24"/>
  <c r="S83" i="24"/>
  <c r="P83" i="24"/>
  <c r="M83" i="24"/>
  <c r="J83" i="24"/>
  <c r="G83" i="24"/>
  <c r="D83" i="24"/>
  <c r="S77" i="24"/>
  <c r="P77" i="24"/>
  <c r="M77" i="24"/>
  <c r="J77" i="24"/>
  <c r="G77" i="24"/>
  <c r="D77" i="24"/>
  <c r="S62" i="24"/>
  <c r="P62" i="24"/>
  <c r="M62" i="24"/>
  <c r="J62" i="24"/>
  <c r="G62" i="24"/>
  <c r="D62" i="24"/>
  <c r="S56" i="24"/>
  <c r="P56" i="24"/>
  <c r="M56" i="24"/>
  <c r="J56" i="24"/>
  <c r="G56" i="24"/>
  <c r="D56" i="24"/>
  <c r="S38" i="24"/>
  <c r="P38" i="24"/>
  <c r="M38" i="24"/>
  <c r="J38" i="24"/>
  <c r="G38" i="24"/>
  <c r="D38" i="24"/>
  <c r="S21" i="24"/>
  <c r="P21" i="24"/>
  <c r="M21" i="24"/>
  <c r="J21" i="24"/>
  <c r="G21" i="24"/>
  <c r="D21" i="24"/>
  <c r="K3" i="24"/>
  <c r="N3" i="24" s="1"/>
  <c r="Q3" i="24" s="1"/>
  <c r="S120" i="23"/>
  <c r="P120" i="23"/>
  <c r="M120" i="23"/>
  <c r="J120" i="23"/>
  <c r="G120" i="23"/>
  <c r="D120" i="23"/>
  <c r="S108" i="23"/>
  <c r="P108" i="23"/>
  <c r="M108" i="23"/>
  <c r="J108" i="23"/>
  <c r="G108" i="23"/>
  <c r="D108" i="23"/>
  <c r="S96" i="23"/>
  <c r="P96" i="23"/>
  <c r="M96" i="23"/>
  <c r="J96" i="23"/>
  <c r="G96" i="23"/>
  <c r="D96" i="23"/>
  <c r="S76" i="23"/>
  <c r="P76" i="23"/>
  <c r="M76" i="23"/>
  <c r="J76" i="23"/>
  <c r="G76" i="23"/>
  <c r="D76" i="23"/>
  <c r="S61" i="23"/>
  <c r="P61" i="23"/>
  <c r="M61" i="23"/>
  <c r="J61" i="23"/>
  <c r="G61" i="23"/>
  <c r="D61" i="23"/>
  <c r="S49" i="23"/>
  <c r="P49" i="23"/>
  <c r="M49" i="23"/>
  <c r="J49" i="23"/>
  <c r="G49" i="23"/>
  <c r="D49" i="23"/>
  <c r="S32" i="23"/>
  <c r="P32" i="23"/>
  <c r="M32" i="23"/>
  <c r="J32" i="23"/>
  <c r="G32" i="23"/>
  <c r="D32" i="23"/>
  <c r="S17" i="23"/>
  <c r="P17" i="23"/>
  <c r="M17" i="23"/>
  <c r="J17" i="23"/>
  <c r="G17" i="23"/>
  <c r="D17" i="23"/>
  <c r="N2" i="23"/>
  <c r="Q2" i="23" s="1"/>
  <c r="K2" i="23"/>
  <c r="S116" i="22"/>
  <c r="P116" i="22"/>
  <c r="M116" i="22"/>
  <c r="J116" i="22"/>
  <c r="G116" i="22"/>
  <c r="D116" i="22"/>
  <c r="S101" i="22"/>
  <c r="P101" i="22"/>
  <c r="M101" i="22"/>
  <c r="J101" i="22"/>
  <c r="G101" i="22"/>
  <c r="D101" i="22"/>
  <c r="S83" i="22"/>
  <c r="P83" i="22"/>
  <c r="M83" i="22"/>
  <c r="J83" i="22"/>
  <c r="G83" i="22"/>
  <c r="D83" i="22"/>
  <c r="S77" i="22"/>
  <c r="P77" i="22"/>
  <c r="M77" i="22"/>
  <c r="J77" i="22"/>
  <c r="G77" i="22"/>
  <c r="D77" i="22"/>
  <c r="S62" i="22"/>
  <c r="P62" i="22"/>
  <c r="M62" i="22"/>
  <c r="J62" i="22"/>
  <c r="G62" i="22"/>
  <c r="D62" i="22"/>
  <c r="S56" i="22"/>
  <c r="P56" i="22"/>
  <c r="M56" i="22"/>
  <c r="J56" i="22"/>
  <c r="G56" i="22"/>
  <c r="D56" i="22"/>
  <c r="S38" i="22"/>
  <c r="P38" i="22"/>
  <c r="M38" i="22"/>
  <c r="J38" i="22"/>
  <c r="G38" i="22"/>
  <c r="D38" i="22"/>
  <c r="S21" i="22"/>
  <c r="P21" i="22"/>
  <c r="M21" i="22"/>
  <c r="J21" i="22"/>
  <c r="G21" i="22"/>
  <c r="D21" i="22"/>
  <c r="N3" i="22"/>
  <c r="Q3" i="22" s="1"/>
  <c r="K3" i="22"/>
  <c r="G32" i="11"/>
  <c r="G17" i="11"/>
  <c r="D32" i="11"/>
  <c r="D96" i="11"/>
  <c r="J59" i="13"/>
  <c r="D76" i="11"/>
  <c r="D49" i="11"/>
  <c r="D61" i="11"/>
  <c r="G104" i="13"/>
  <c r="J104" i="13"/>
  <c r="M104" i="13"/>
  <c r="P104" i="13"/>
  <c r="S104" i="13"/>
  <c r="G61" i="11"/>
  <c r="P23" i="13"/>
  <c r="G119" i="13"/>
  <c r="G80" i="13"/>
  <c r="J80" i="13"/>
  <c r="K3" i="13"/>
  <c r="N3" i="13" s="1"/>
  <c r="Q3" i="13" s="1"/>
  <c r="D108" i="11"/>
  <c r="S119" i="13"/>
  <c r="P119" i="13"/>
  <c r="M119" i="13"/>
  <c r="J119" i="13"/>
  <c r="S86" i="13"/>
  <c r="P86" i="13"/>
  <c r="M86" i="13"/>
  <c r="J86" i="13"/>
  <c r="G86" i="13"/>
  <c r="D86" i="13"/>
  <c r="S80" i="13"/>
  <c r="P80" i="13"/>
  <c r="M80" i="13"/>
  <c r="D80" i="13"/>
  <c r="S65" i="13"/>
  <c r="P65" i="13"/>
  <c r="M65" i="13"/>
  <c r="J65" i="13"/>
  <c r="G65" i="13"/>
  <c r="D65" i="13"/>
  <c r="S59" i="13"/>
  <c r="P59" i="13"/>
  <c r="M59" i="13"/>
  <c r="S40" i="13"/>
  <c r="P40" i="13"/>
  <c r="M40" i="13"/>
  <c r="S23" i="13"/>
  <c r="M23" i="13"/>
  <c r="G96" i="11"/>
  <c r="S120" i="11"/>
  <c r="P120" i="11"/>
  <c r="M120" i="11"/>
  <c r="J120" i="11"/>
  <c r="G120" i="11"/>
  <c r="D120" i="11"/>
  <c r="D17" i="11"/>
  <c r="S108" i="11"/>
  <c r="P108" i="11"/>
  <c r="M108" i="11"/>
  <c r="J108" i="11"/>
  <c r="G108" i="11"/>
  <c r="S96" i="11"/>
  <c r="P96" i="11"/>
  <c r="M96" i="11"/>
  <c r="J96" i="11"/>
  <c r="S76" i="11"/>
  <c r="S61" i="11"/>
  <c r="S49" i="11"/>
  <c r="S32" i="11"/>
  <c r="S17" i="11"/>
  <c r="P76" i="11"/>
  <c r="P61" i="11"/>
  <c r="P49" i="11"/>
  <c r="P32" i="11"/>
  <c r="P17" i="11"/>
  <c r="M76" i="11"/>
  <c r="J76" i="11"/>
  <c r="G76" i="11"/>
  <c r="M61" i="11"/>
  <c r="J61" i="11"/>
  <c r="M49" i="11"/>
  <c r="J49" i="11"/>
  <c r="G49" i="11"/>
  <c r="M32" i="11"/>
  <c r="J32" i="11"/>
  <c r="M17" i="11"/>
  <c r="J17" i="11"/>
  <c r="C66" i="9"/>
  <c r="C65" i="9"/>
  <c r="C64" i="9"/>
  <c r="C63" i="9"/>
  <c r="C62" i="9"/>
  <c r="C61" i="9"/>
  <c r="M57" i="9"/>
  <c r="M66" i="9" s="1"/>
  <c r="G76" i="9" s="1"/>
  <c r="J57" i="9"/>
  <c r="J66" i="9" s="1"/>
  <c r="F76" i="9" s="1"/>
  <c r="G57" i="9"/>
  <c r="G66" i="9" s="1"/>
  <c r="E76" i="9" s="1"/>
  <c r="D57" i="9"/>
  <c r="D66" i="9" s="1"/>
  <c r="D76" i="9" s="1"/>
  <c r="M51" i="9"/>
  <c r="M65" i="9" s="1"/>
  <c r="G75" i="9" s="1"/>
  <c r="J51" i="9"/>
  <c r="J65" i="9" s="1"/>
  <c r="F75" i="9" s="1"/>
  <c r="G51" i="9"/>
  <c r="G65" i="9" s="1"/>
  <c r="E75" i="9" s="1"/>
  <c r="D51" i="9"/>
  <c r="D65" i="9" s="1"/>
  <c r="D75" i="9" s="1"/>
  <c r="M45" i="9"/>
  <c r="M64" i="9" s="1"/>
  <c r="G74" i="9" s="1"/>
  <c r="J45" i="9"/>
  <c r="J64" i="9" s="1"/>
  <c r="F74" i="9" s="1"/>
  <c r="G45" i="9"/>
  <c r="G64" i="9" s="1"/>
  <c r="E74" i="9" s="1"/>
  <c r="D45" i="9"/>
  <c r="D64" i="9" s="1"/>
  <c r="D74" i="9" s="1"/>
  <c r="M39" i="9"/>
  <c r="M63" i="9" s="1"/>
  <c r="G73" i="9" s="1"/>
  <c r="J39" i="9"/>
  <c r="J63" i="9" s="1"/>
  <c r="F73" i="9" s="1"/>
  <c r="G39" i="9"/>
  <c r="G63" i="9" s="1"/>
  <c r="E73" i="9" s="1"/>
  <c r="D39" i="9"/>
  <c r="D63" i="9" s="1"/>
  <c r="D73" i="9" s="1"/>
  <c r="M31" i="9"/>
  <c r="M62" i="9" s="1"/>
  <c r="G72" i="9" s="1"/>
  <c r="J31" i="9"/>
  <c r="J62" i="9" s="1"/>
  <c r="F72" i="9" s="1"/>
  <c r="G31" i="9"/>
  <c r="G62" i="9" s="1"/>
  <c r="E72" i="9" s="1"/>
  <c r="D31" i="9"/>
  <c r="D62" i="9" s="1"/>
  <c r="D72" i="9" s="1"/>
  <c r="M17" i="9"/>
  <c r="M61" i="9" s="1"/>
  <c r="J17" i="9"/>
  <c r="J61" i="9" s="1"/>
  <c r="G17" i="9"/>
  <c r="G61" i="9" s="1"/>
  <c r="D17" i="9"/>
  <c r="D61" i="9" s="1"/>
  <c r="N3" i="9"/>
  <c r="G70" i="9" s="1"/>
  <c r="K3" i="9"/>
  <c r="F70" i="9" s="1"/>
  <c r="H3" i="9"/>
  <c r="E70" i="9" s="1"/>
  <c r="E3" i="9"/>
  <c r="D70" i="9" s="1"/>
  <c r="I5" i="2"/>
  <c r="K2" i="11" l="1"/>
  <c r="E71" i="9"/>
  <c r="E77" i="9" s="1"/>
  <c r="G67" i="9"/>
  <c r="D71" i="9"/>
  <c r="D77" i="9" s="1"/>
  <c r="D67" i="9"/>
  <c r="F71" i="9"/>
  <c r="F77" i="9" s="1"/>
  <c r="J67" i="9"/>
  <c r="G71" i="9"/>
  <c r="G77" i="9" s="1"/>
  <c r="M67" i="9"/>
  <c r="N2" i="11" l="1"/>
  <c r="Q2" i="11" l="1"/>
</calcChain>
</file>

<file path=xl/sharedStrings.xml><?xml version="1.0" encoding="utf-8"?>
<sst xmlns="http://schemas.openxmlformats.org/spreadsheetml/2006/main" count="2795" uniqueCount="242">
  <si>
    <t>Semana:</t>
  </si>
  <si>
    <t>Fecha:</t>
  </si>
  <si>
    <t>CUMPLE</t>
  </si>
  <si>
    <t>NO CUMPLE</t>
  </si>
  <si>
    <t>NO APLICA</t>
  </si>
  <si>
    <t>1. Condiciones de seguridad</t>
  </si>
  <si>
    <t>Ruta de evacuación despejada</t>
  </si>
  <si>
    <t>Ruta de evacuación señalizada</t>
  </si>
  <si>
    <t>Salida de emergencia despejada</t>
  </si>
  <si>
    <t>Salida de emergencia señalizada</t>
  </si>
  <si>
    <t>Se encuentran tarimas colocadas de forma vertical</t>
  </si>
  <si>
    <t>Delimitación de maquinara es respetada</t>
  </si>
  <si>
    <t>Extintores se encuentran despejados</t>
  </si>
  <si>
    <t>Extintores se encuentran señalizados</t>
  </si>
  <si>
    <t>SUBTOTAL</t>
  </si>
  <si>
    <t>2. Orden y limpieza</t>
  </si>
  <si>
    <t>Suelos se encuentran limpios</t>
  </si>
  <si>
    <t>Suelos presentan grietas o daños</t>
  </si>
  <si>
    <t>3. Equipo de protección personal</t>
  </si>
  <si>
    <t>Se está haciendo buen uso  del EPP auditivo que se ha proporcionado</t>
  </si>
  <si>
    <t>Se está haciendo buen uso  del EPP respiratorio que se ha proporcionado</t>
  </si>
  <si>
    <t>Se está haciendo buen uso del EPP para protección de pies</t>
  </si>
  <si>
    <t>Se está haciendo buen uso del EPP para protección de cabeza</t>
  </si>
  <si>
    <t>4. Maquinaria / Equipos de trabajo</t>
  </si>
  <si>
    <t>La maquinaria cuenta con guardas de seguridad</t>
  </si>
  <si>
    <t>La máquina cuenta con dispositivo de paro de emergencia despejado</t>
  </si>
  <si>
    <t>Botones de maquinaria estén identificados</t>
  </si>
  <si>
    <t>La áreas de trabajo estan delimitadas e identificadas</t>
  </si>
  <si>
    <t>5. Inspecciones eléctricas</t>
  </si>
  <si>
    <t>Se cuentan cajas de registro y toma corrientes sin tapaderas</t>
  </si>
  <si>
    <t>Se observan cables sueltos en paredes y pasillos</t>
  </si>
  <si>
    <t xml:space="preserve">Maquinarias sin utilizar se encuentran desenergizadas </t>
  </si>
  <si>
    <t>Los paneles eléctricos de las máquinas permanecen cerrados</t>
  </si>
  <si>
    <t>6. Actos de comportamiento</t>
  </si>
  <si>
    <t>RESUMEN DE INSPECCIÓN</t>
  </si>
  <si>
    <t>TOTAL</t>
  </si>
  <si>
    <t>Observaciones</t>
  </si>
  <si>
    <t>INSPECCIÓN HOUSEKEEPING</t>
  </si>
  <si>
    <t>Código:</t>
  </si>
  <si>
    <t>Edición:</t>
  </si>
  <si>
    <t>Fecha edición:</t>
  </si>
  <si>
    <t>Lámparas se encuentran límpias</t>
  </si>
  <si>
    <t>Productos químicos se encuentran señalizados</t>
  </si>
  <si>
    <t>ÁREA EVALUADA:</t>
  </si>
  <si>
    <t>Basureros tapados</t>
  </si>
  <si>
    <t>Basureros sobrepasan cantidad de desperdicios</t>
  </si>
  <si>
    <t>INDUSTRIA SANCHIA S,A DE C,V</t>
  </si>
  <si>
    <t xml:space="preserve"> </t>
  </si>
  <si>
    <t>MAQUINAS</t>
  </si>
  <si>
    <t>Área inspeccionada:  Maquina</t>
  </si>
  <si>
    <t>0001</t>
  </si>
  <si>
    <t>Se presenta acumulación de material  debajo de cañon</t>
  </si>
  <si>
    <t xml:space="preserve">Fugas de aceite </t>
  </si>
  <si>
    <t>fugas de agua</t>
  </si>
  <si>
    <t>31/04/2025</t>
  </si>
  <si>
    <t>Persona que acompaña: Edwin Arevalo</t>
  </si>
  <si>
    <t>guardes de la maquina se encuentran limpias</t>
  </si>
  <si>
    <t>Adentro de la maquina esta limpio</t>
  </si>
  <si>
    <t xml:space="preserve">succionadora se encuentran  limpias </t>
  </si>
  <si>
    <t>Colaboradores no portan ningun accesorio  telefono¡,audifono</t>
  </si>
  <si>
    <t>Colaboradores asumen acciones seguras dentro de su puesto de trabajo (rebebeo corecto) cuchillas con estuche</t>
  </si>
  <si>
    <t>Colaboradores se encuentran con el uniforme completo y ordenado  camisa prensada</t>
  </si>
  <si>
    <t>Mangueras de tambos de gas se escuentn en buenas condiciones</t>
  </si>
  <si>
    <t>Se está haciendo buen uso  del EPP para ojos que se ha proporcionado para quemar puntas (careta)</t>
  </si>
  <si>
    <t>Se está haciendo buen uso del EPP para protección de manos (gantes)</t>
  </si>
  <si>
    <t>tambos de gas sin fugas</t>
  </si>
  <si>
    <t>Colaboradores  portan pelo recortada barba rasurado</t>
  </si>
  <si>
    <t>x</t>
  </si>
  <si>
    <t>mangueras con sinta ahislante</t>
  </si>
  <si>
    <t>mq-31-36-5</t>
  </si>
  <si>
    <t>dañado maq 30</t>
  </si>
  <si>
    <t>no tienen proteccion los cañones</t>
  </si>
  <si>
    <t>X</t>
  </si>
  <si>
    <t>Se está haciendo buen uso  del EPP facial (careta) que se a proporcionado</t>
  </si>
  <si>
    <t>Se está haciendo buen uso  del EPP contra quemaduras (gabacha que se a proporcionado</t>
  </si>
  <si>
    <t xml:space="preserve">PROMEDIO </t>
  </si>
  <si>
    <t>Se está haciendo buen uso del EPP para protección de manos (guantes)</t>
  </si>
  <si>
    <t xml:space="preserve">Corregir fuga de aceite </t>
  </si>
  <si>
    <t xml:space="preserve">Corregir fuga de agua </t>
  </si>
  <si>
    <t xml:space="preserve">Limpieza de succionadoras </t>
  </si>
  <si>
    <t xml:space="preserve">Ordenamiento de herramientas </t>
  </si>
  <si>
    <t xml:space="preserve">Recoger mangueras de agua y aceite </t>
  </si>
  <si>
    <t xml:space="preserve">Colocar tapones en moldes con fuga de aceite </t>
  </si>
  <si>
    <t xml:space="preserve">Recoger rebaba de piso </t>
  </si>
  <si>
    <t xml:space="preserve">Limpieza de maquinas </t>
  </si>
  <si>
    <t xml:space="preserve">Retirar cajas con agua </t>
  </si>
  <si>
    <t xml:space="preserve">Reprocesar piezas rechazadas por calidad </t>
  </si>
  <si>
    <t xml:space="preserve">Recoger implemento que utilizan para retirar la melcocha </t>
  </si>
  <si>
    <t xml:space="preserve">Limpieza de pasillos </t>
  </si>
  <si>
    <t>MANTENIMIENTO</t>
  </si>
  <si>
    <t xml:space="preserve">No colocar tarimas verticalmente </t>
  </si>
  <si>
    <t xml:space="preserve">Ordenar tarimas mal estibadas </t>
  </si>
  <si>
    <t>Retirar javas con rebaba</t>
  </si>
  <si>
    <t>SEMITERMINADO</t>
  </si>
  <si>
    <t xml:space="preserve">Retirar paneles de temperatura sin uso </t>
  </si>
  <si>
    <t>AREA ELECTRICA</t>
  </si>
  <si>
    <t xml:space="preserve">Recoger derrames de materia prima en el piso </t>
  </si>
  <si>
    <t xml:space="preserve">Retirar piezas semi-armadas del área de maquina </t>
  </si>
  <si>
    <t>Retirar piezas de muestra de la maquina</t>
  </si>
  <si>
    <t>CALIDAD</t>
  </si>
  <si>
    <t>Cumplimiento Semanal</t>
  </si>
  <si>
    <t>80%-100%</t>
  </si>
  <si>
    <t>0%-79%</t>
  </si>
  <si>
    <t>ENSAMBLE</t>
  </si>
  <si>
    <t xml:space="preserve">Limpieza de estantes </t>
  </si>
  <si>
    <t>Ordenar piezas para reciclado</t>
  </si>
  <si>
    <t>Orden de tarimas con semiterminado</t>
  </si>
  <si>
    <t>Limpieza de mesas</t>
  </si>
  <si>
    <t>Mesas limpias</t>
  </si>
  <si>
    <t xml:space="preserve">Retirar piezas malas del área maquina </t>
  </si>
  <si>
    <t>Mezanines ordenados y limpios</t>
  </si>
  <si>
    <t xml:space="preserve">Orden  y limpieza de  estantes </t>
  </si>
  <si>
    <t>Áreas de  frontales limpia y ordenada</t>
  </si>
  <si>
    <t>Área de chasis gavetero limpia y ordenada</t>
  </si>
  <si>
    <t>Tarimas en los pasillos</t>
  </si>
  <si>
    <t>Áreas   frente a maquinas limpia y ordenada</t>
  </si>
  <si>
    <t>Javas ordenadas</t>
  </si>
  <si>
    <t>Jumbos con strechfil ordenados</t>
  </si>
  <si>
    <t xml:space="preserve">MESCLAS </t>
  </si>
  <si>
    <t>Tarimas ordenadas</t>
  </si>
  <si>
    <t xml:space="preserve"> RECICLADO Y PELETIZADO</t>
  </si>
  <si>
    <t xml:space="preserve">Recoger derrames de material reciclado  en el piso </t>
  </si>
  <si>
    <t xml:space="preserve">Orden y limpieza de área de reciclado </t>
  </si>
  <si>
    <t>Jumbos  con materia reciclado  ordenados</t>
  </si>
  <si>
    <t>javas con rebaba ordenadas</t>
  </si>
  <si>
    <t>Barriles ordenados</t>
  </si>
  <si>
    <t xml:space="preserve">Orden y limpieza de área de Bodega </t>
  </si>
  <si>
    <t>Estantes Ordenado y limpios</t>
  </si>
  <si>
    <t>Implementos Personales</t>
  </si>
  <si>
    <t>BODEGA DE INSUMOS</t>
  </si>
  <si>
    <t>BODEGA ELECTRICA</t>
  </si>
  <si>
    <t>BODEGAS</t>
  </si>
  <si>
    <t>BODEGAS EMPAQUES Y SUMINISTROS</t>
  </si>
  <si>
    <t>Mezanines ordenados  y limpios</t>
  </si>
  <si>
    <t>Tarimas en la orilla del Mezanine</t>
  </si>
  <si>
    <t>Área de espejos ordenada y limpia</t>
  </si>
  <si>
    <t>Área de motores de lavadora ordenada y limpia</t>
  </si>
  <si>
    <t>Área limpia y Ordenas</t>
  </si>
  <si>
    <t>Implementos personales</t>
  </si>
  <si>
    <t>Muebles sobrantes  Ordenados</t>
  </si>
  <si>
    <t>Herramientas ordenadas y limpias</t>
  </si>
  <si>
    <t>ÁREA EXPORTACION</t>
  </si>
  <si>
    <t>Área de vin ordenada y limpia</t>
  </si>
  <si>
    <t>BODEGA DE MATERIA PRIMA</t>
  </si>
  <si>
    <t>BODEGA CD</t>
  </si>
  <si>
    <t>Material Reciclado Identificado</t>
  </si>
  <si>
    <t xml:space="preserve">Uso de EPP </t>
  </si>
  <si>
    <t xml:space="preserve">Limpieza de materia prima en cañón </t>
  </si>
  <si>
    <t xml:space="preserve">Retirar melcocha en cañón </t>
  </si>
  <si>
    <t>Ventiladores limpios y apagados</t>
  </si>
  <si>
    <t>Pasillos despejados sin tarimas</t>
  </si>
  <si>
    <t>Contenedores ordenados y limpios</t>
  </si>
  <si>
    <t>Orden y Limpieza de Bodega</t>
  </si>
  <si>
    <t>Trici Motos Limpias</t>
  </si>
  <si>
    <t>No Materia  prima en el piso</t>
  </si>
  <si>
    <t>Colorantes ordenados</t>
  </si>
  <si>
    <t>Bodega limpia y ordenada</t>
  </si>
  <si>
    <t>Equipo limpios y ordenados</t>
  </si>
  <si>
    <t>Pasillos despejados</t>
  </si>
  <si>
    <t>Objetos personales en el lugar de trabajo</t>
  </si>
  <si>
    <t>Tarima basia esta ordenadas</t>
  </si>
  <si>
    <t>Orden de herramientas y limpias</t>
  </si>
  <si>
    <t>Producto de segunda ordenado</t>
  </si>
  <si>
    <t>Presentación Personal</t>
  </si>
  <si>
    <t>Tarimas con Cartón  Identificadas</t>
  </si>
  <si>
    <t>Uso de equipo de protección Personal</t>
  </si>
  <si>
    <t>Muebles sobrantes Identificados</t>
  </si>
  <si>
    <t xml:space="preserve">Clasificación de la Basura </t>
  </si>
  <si>
    <t>Tarimas Vacías ordenadas</t>
  </si>
  <si>
    <t>Extintor en su posición</t>
  </si>
  <si>
    <t>presentación personal</t>
  </si>
  <si>
    <t>Uso de Equipo de protección Personal</t>
  </si>
  <si>
    <t>Tarimas con Materia Prima Identificadas</t>
  </si>
  <si>
    <t>Extintores en su posición</t>
  </si>
  <si>
    <t>Equipo  Montacarga Limpios</t>
  </si>
  <si>
    <t>Montacargas en buen estado</t>
  </si>
  <si>
    <t>Trici Motos en Buen estado</t>
  </si>
  <si>
    <t>Colorantes  Identificados</t>
  </si>
  <si>
    <t>Extintores  señalizados</t>
  </si>
  <si>
    <t>Extintores sin obstrucción</t>
  </si>
  <si>
    <t>Presentación personal</t>
  </si>
  <si>
    <t>Objetos personales en  el lugar de trabajo (mochilas)</t>
  </si>
  <si>
    <t>Estantes  están rotulado  y Identificados</t>
  </si>
  <si>
    <t>Químicos están Identificados</t>
  </si>
  <si>
    <t>extintores en su posición</t>
  </si>
  <si>
    <t>Iluminación Adecuada</t>
  </si>
  <si>
    <t>Clasificación de la Basura</t>
  </si>
  <si>
    <t>Gabinetes  de Almacenaje de Pernos Identificado</t>
  </si>
  <si>
    <t>#</t>
  </si>
  <si>
    <t xml:space="preserve">Recolección de cajas de aceite tirada en el piso </t>
  </si>
  <si>
    <t>Ordenamiento de mangueras ( no  wiper)</t>
  </si>
  <si>
    <t>Clasificación correcta  de  desechos</t>
  </si>
  <si>
    <t>No tener implementos personales (mochilas )</t>
  </si>
  <si>
    <t>Cajas de lubricación esta limpias</t>
  </si>
  <si>
    <t xml:space="preserve">Ordenas sacos vacíos </t>
  </si>
  <si>
    <t>Clasificación correcta de desechos</t>
  </si>
  <si>
    <t xml:space="preserve">Retirar tarimas con semiterminado del área de maquina  </t>
  </si>
  <si>
    <t>Área de chasis terecita  Ordenado y limpio</t>
  </si>
  <si>
    <t>contenedores ordenados y limpios</t>
  </si>
  <si>
    <t xml:space="preserve">Cerrar paneles eléctricos </t>
  </si>
  <si>
    <t xml:space="preserve">Reparación de toma corrientes sin tapadera </t>
  </si>
  <si>
    <t xml:space="preserve">Ordenamiento de extensiones eléctricas </t>
  </si>
  <si>
    <t>Maquinas limpias</t>
  </si>
  <si>
    <t>Uso de EPP</t>
  </si>
  <si>
    <t>Iluminación adecuada</t>
  </si>
  <si>
    <t>Retirar barriles y Jumbos vacíos  maquinas</t>
  </si>
  <si>
    <t>Retirar bolsas vacías de materia prima de maquias</t>
  </si>
  <si>
    <t>Jumbos  con materia prima  ordenados y identificados</t>
  </si>
  <si>
    <t>no tener implementos personales en el área (mochilas)</t>
  </si>
  <si>
    <t>Área a un costado de despacho local ordenado y limpio</t>
  </si>
  <si>
    <t>herramientas ordenadas</t>
  </si>
  <si>
    <t xml:space="preserve">Etiquetar tarimas según su estado </t>
  </si>
  <si>
    <t>Orden de tarimas vacías</t>
  </si>
  <si>
    <t>Producto  terminado ordenado y limpio</t>
  </si>
  <si>
    <t>Producto  terminado identificado</t>
  </si>
  <si>
    <t>Producto de segunda identificado</t>
  </si>
  <si>
    <t>Señalización salida de emergencia</t>
  </si>
  <si>
    <t>Rampas limpias</t>
  </si>
  <si>
    <t>Tarimas vacías ordenadas</t>
  </si>
  <si>
    <t>Herramientas ordenadas y limpias monta carga y yales</t>
  </si>
  <si>
    <t xml:space="preserve"> Equipos  en buen estado  pizas dañadas fugas de aceite</t>
  </si>
  <si>
    <t>Uso de EPP (faja lumbar)</t>
  </si>
  <si>
    <t xml:space="preserve">Presentación personal </t>
  </si>
  <si>
    <t>Uso de equipo de protección personal</t>
  </si>
  <si>
    <t>mezclas  sobrantes ordenadas y identificadas</t>
  </si>
  <si>
    <t>maquinas mezcladoras  limpias</t>
  </si>
  <si>
    <t xml:space="preserve">Orden y limpieza de área de Mezcladoras </t>
  </si>
  <si>
    <t>Mezclas contaminadas ordenadas y identificadas</t>
  </si>
  <si>
    <t>rudy</t>
  </si>
  <si>
    <t>WILVER</t>
  </si>
  <si>
    <t>Flejadoras Apagadas</t>
  </si>
  <si>
    <t xml:space="preserve">MEZCLAS </t>
  </si>
  <si>
    <t>OSMIN</t>
  </si>
  <si>
    <t>WILBER</t>
  </si>
  <si>
    <t xml:space="preserve"> Retirar tarimas con semiterminado del área de maquina  </t>
  </si>
  <si>
    <t xml:space="preserve">OMAR </t>
  </si>
  <si>
    <t>Equipos limpios  (montacargas y yales</t>
  </si>
  <si>
    <t>omar</t>
  </si>
  <si>
    <t xml:space="preserve">Contenedores ordenados </t>
  </si>
  <si>
    <t>Maquina torno limpias</t>
  </si>
  <si>
    <t>Uso de equipo de protecion personal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</si>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</sst>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5" borderId="3" xfId="0" applyFont="1" applyFill="1" applyBorder="1"/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2" fillId="5" borderId="4" xfId="0" applyFont="1" applyFill="1" applyBorder="1"/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5" borderId="11" xfId="0" applyFont="1" applyFill="1" applyBorder="1"/>
    <xf numFmtId="0" fontId="2" fillId="5" borderId="10" xfId="0" applyFont="1" applyFill="1" applyBorder="1"/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vertical="center"/>
    </xf>
    <xf numFmtId="17" fontId="0" fillId="0" borderId="10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6" xfId="0" applyBorder="1"/>
    <xf numFmtId="0" fontId="0" fillId="0" borderId="17" xfId="0" quotePrefix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wrapText="1"/>
    </xf>
    <xf numFmtId="0" fontId="6" fillId="0" borderId="10" xfId="0" applyFont="1" applyBorder="1"/>
    <xf numFmtId="0" fontId="0" fillId="0" borderId="6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10" xfId="0" applyBorder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4" xfId="0" applyFont="1" applyBorder="1"/>
    <xf numFmtId="0" fontId="0" fillId="7" borderId="0" xfId="0" applyFill="1"/>
    <xf numFmtId="0" fontId="0" fillId="3" borderId="0" xfId="0" applyFill="1"/>
    <xf numFmtId="0" fontId="8" fillId="0" borderId="43" xfId="0" applyFont="1" applyBorder="1"/>
    <xf numFmtId="14" fontId="2" fillId="5" borderId="11" xfId="0" applyNumberFormat="1" applyFont="1" applyFill="1" applyBorder="1" applyAlignment="1">
      <alignment horizontal="center" vertical="center" wrapText="1"/>
    </xf>
    <xf numFmtId="14" fontId="2" fillId="5" borderId="11" xfId="0" applyNumberFormat="1" applyFont="1" applyFill="1" applyBorder="1"/>
    <xf numFmtId="14" fontId="2" fillId="5" borderId="20" xfId="0" applyNumberFormat="1" applyFont="1" applyFill="1" applyBorder="1" applyAlignment="1">
      <alignment horizontal="center"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4" fontId="9" fillId="5" borderId="20" xfId="0" applyNumberFormat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9" fontId="10" fillId="0" borderId="10" xfId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2" fillId="5" borderId="11" xfId="0" applyFont="1" applyFill="1" applyBorder="1" applyAlignment="1">
      <alignment wrapText="1"/>
    </xf>
    <xf numFmtId="0" fontId="2" fillId="5" borderId="20" xfId="0" applyFont="1" applyFill="1" applyBorder="1" applyAlignment="1">
      <alignment wrapText="1"/>
    </xf>
    <xf numFmtId="0" fontId="9" fillId="5" borderId="20" xfId="0" applyFont="1" applyFill="1" applyBorder="1" applyAlignment="1">
      <alignment wrapText="1"/>
    </xf>
    <xf numFmtId="0" fontId="2" fillId="5" borderId="20" xfId="0" applyFont="1" applyFill="1" applyBorder="1" applyAlignment="1">
      <alignment horizontal="center" wrapText="1"/>
    </xf>
    <xf numFmtId="14" fontId="2" fillId="5" borderId="13" xfId="0" applyNumberFormat="1" applyFont="1" applyFill="1" applyBorder="1" applyAlignment="1">
      <alignment horizontal="center" vertical="center" wrapText="1"/>
    </xf>
    <xf numFmtId="9" fontId="0" fillId="0" borderId="27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wrapText="1"/>
    </xf>
    <xf numFmtId="0" fontId="2" fillId="5" borderId="11" xfId="0" applyFont="1" applyFill="1" applyBorder="1" applyAlignment="1">
      <alignment horizontal="center" wrapText="1"/>
    </xf>
    <xf numFmtId="0" fontId="0" fillId="8" borderId="23" xfId="0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5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wrapText="1"/>
    </xf>
    <xf numFmtId="0" fontId="4" fillId="6" borderId="19" xfId="0" applyFont="1" applyFill="1" applyBorder="1" applyAlignment="1">
      <alignment horizontal="center" wrapText="1"/>
    </xf>
    <xf numFmtId="9" fontId="0" fillId="0" borderId="27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0" fontId="2" fillId="5" borderId="20" xfId="0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 wrapText="1"/>
    </xf>
    <xf numFmtId="0" fontId="4" fillId="6" borderId="11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horizontal="center" wrapText="1"/>
    </xf>
    <xf numFmtId="9" fontId="0" fillId="0" borderId="11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9" fontId="0" fillId="0" borderId="33" xfId="1" applyFon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9" fontId="0" fillId="0" borderId="35" xfId="1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wrapText="1"/>
    </xf>
    <xf numFmtId="0" fontId="4" fillId="6" borderId="1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6" borderId="18" xfId="0" applyFont="1" applyFill="1" applyBorder="1" applyAlignment="1">
      <alignment horizontal="center" wrapText="1"/>
    </xf>
    <xf numFmtId="0" fontId="11" fillId="6" borderId="19" xfId="0" applyFont="1" applyFill="1" applyBorder="1" applyAlignment="1">
      <alignment horizontal="center" wrapText="1"/>
    </xf>
    <xf numFmtId="9" fontId="10" fillId="0" borderId="27" xfId="1" applyFont="1" applyBorder="1" applyAlignment="1">
      <alignment horizontal="center" vertical="center"/>
    </xf>
    <xf numFmtId="9" fontId="10" fillId="0" borderId="28" xfId="1" applyFont="1" applyBorder="1" applyAlignment="1">
      <alignment horizontal="center" vertical="center"/>
    </xf>
    <xf numFmtId="9" fontId="10" fillId="0" borderId="29" xfId="1" applyFont="1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15" fontId="0" fillId="0" borderId="39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15" fontId="0" fillId="0" borderId="2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Area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'Maquinas07 (2)'!$D$70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'Maquinas07 (2)'!$C$71:$C$76</c:f>
              <c:strCache>
                <c:ptCount val="6"/>
                <c:pt idx="0">
                  <c:v>1. Condiciones de seguridad</c:v>
                </c:pt>
                <c:pt idx="1">
                  <c:v>2. Orden y limpieza</c:v>
                </c:pt>
                <c:pt idx="2">
                  <c:v>3. Equipo de protección personal</c:v>
                </c:pt>
                <c:pt idx="3">
                  <c:v>4. Maquinaria / Equipos de trabajo</c:v>
                </c:pt>
                <c:pt idx="4">
                  <c:v>5. Inspecciones eléctricas</c:v>
                </c:pt>
                <c:pt idx="5">
                  <c:v>6. Actos de comportamiento</c:v>
                </c:pt>
              </c:strCache>
            </c:strRef>
          </c:cat>
          <c:val>
            <c:numRef>
              <c:f>'Maquinas07 (2)'!$D$71:$D$76</c:f>
              <c:numCache>
                <c:formatCode>0%</c:formatCode>
                <c:ptCount val="6"/>
                <c:pt idx="0">
                  <c:v>0.5</c:v>
                </c:pt>
                <c:pt idx="1">
                  <c:v>0.3</c:v>
                </c:pt>
                <c:pt idx="2">
                  <c:v>0.33333333333333331</c:v>
                </c:pt>
                <c:pt idx="3">
                  <c:v>0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F-4F32-A56E-DFDFE3BEF831}"/>
            </c:ext>
          </c:extLst>
        </c:ser>
        <c:ser>
          <c:idx val="1"/>
          <c:order val="1"/>
          <c:tx>
            <c:strRef>
              <c:f>'Maquinas07 (2)'!$E$70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'Maquinas07 (2)'!$C$71:$C$76</c:f>
              <c:strCache>
                <c:ptCount val="6"/>
                <c:pt idx="0">
                  <c:v>1. Condiciones de seguridad</c:v>
                </c:pt>
                <c:pt idx="1">
                  <c:v>2. Orden y limpieza</c:v>
                </c:pt>
                <c:pt idx="2">
                  <c:v>3. Equipo de protección personal</c:v>
                </c:pt>
                <c:pt idx="3">
                  <c:v>4. Maquinaria / Equipos de trabajo</c:v>
                </c:pt>
                <c:pt idx="4">
                  <c:v>5. Inspecciones eléctricas</c:v>
                </c:pt>
                <c:pt idx="5">
                  <c:v>6. Actos de comportamiento</c:v>
                </c:pt>
              </c:strCache>
            </c:strRef>
          </c:cat>
          <c:val>
            <c:numRef>
              <c:f>'Maquinas07 (2)'!$E$71:$E$76</c:f>
              <c:numCache>
                <c:formatCode>0%</c:formatCode>
                <c:ptCount val="6"/>
                <c:pt idx="0">
                  <c:v>0.4</c:v>
                </c:pt>
                <c:pt idx="1">
                  <c:v>0.33333333333333331</c:v>
                </c:pt>
                <c:pt idx="2">
                  <c:v>0.5</c:v>
                </c:pt>
                <c:pt idx="3">
                  <c:v>0.5</c:v>
                </c:pt>
                <c:pt idx="4">
                  <c:v>0.25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F-4F32-A56E-DFDFE3BEF831}"/>
            </c:ext>
          </c:extLst>
        </c:ser>
        <c:ser>
          <c:idx val="2"/>
          <c:order val="2"/>
          <c:tx>
            <c:strRef>
              <c:f>'Maquinas07 (2)'!$F$70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'Maquinas07 (2)'!$C$71:$C$76</c:f>
              <c:strCache>
                <c:ptCount val="6"/>
                <c:pt idx="0">
                  <c:v>1. Condiciones de seguridad</c:v>
                </c:pt>
                <c:pt idx="1">
                  <c:v>2. Orden y limpieza</c:v>
                </c:pt>
                <c:pt idx="2">
                  <c:v>3. Equipo de protección personal</c:v>
                </c:pt>
                <c:pt idx="3">
                  <c:v>4. Maquinaria / Equipos de trabajo</c:v>
                </c:pt>
                <c:pt idx="4">
                  <c:v>5. Inspecciones eléctricas</c:v>
                </c:pt>
                <c:pt idx="5">
                  <c:v>6. Actos de comportamiento</c:v>
                </c:pt>
              </c:strCache>
            </c:strRef>
          </c:cat>
          <c:val>
            <c:numRef>
              <c:f>'Maquinas07 (2)'!$F$71:$F$76</c:f>
              <c:numCache>
                <c:formatCode>0%</c:formatCode>
                <c:ptCount val="6"/>
                <c:pt idx="0">
                  <c:v>0.4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0.25</c:v>
                </c:pt>
                <c:pt idx="4">
                  <c:v>0.25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F-4F32-A56E-DFDFE3BEF831}"/>
            </c:ext>
          </c:extLst>
        </c:ser>
        <c:ser>
          <c:idx val="3"/>
          <c:order val="3"/>
          <c:tx>
            <c:strRef>
              <c:f>'Maquinas07 (2)'!$G$70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'Maquinas07 (2)'!$C$71:$C$76</c:f>
              <c:strCache>
                <c:ptCount val="6"/>
                <c:pt idx="0">
                  <c:v>1. Condiciones de seguridad</c:v>
                </c:pt>
                <c:pt idx="1">
                  <c:v>2. Orden y limpieza</c:v>
                </c:pt>
                <c:pt idx="2">
                  <c:v>3. Equipo de protección personal</c:v>
                </c:pt>
                <c:pt idx="3">
                  <c:v>4. Maquinaria / Equipos de trabajo</c:v>
                </c:pt>
                <c:pt idx="4">
                  <c:v>5. Inspecciones eléctricas</c:v>
                </c:pt>
                <c:pt idx="5">
                  <c:v>6. Actos de comportamiento</c:v>
                </c:pt>
              </c:strCache>
            </c:strRef>
          </c:cat>
          <c:val>
            <c:numRef>
              <c:f>'Maquinas07 (2)'!$G$71:$G$76</c:f>
              <c:numCache>
                <c:formatCode>0%</c:formatCode>
                <c:ptCount val="6"/>
                <c:pt idx="0">
                  <c:v>0.5</c:v>
                </c:pt>
                <c:pt idx="1">
                  <c:v>0.33333333333333331</c:v>
                </c:pt>
                <c:pt idx="2">
                  <c:v>0.5</c:v>
                </c:pt>
                <c:pt idx="3">
                  <c:v>0.25</c:v>
                </c:pt>
                <c:pt idx="4">
                  <c:v>0.25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F-4F32-A56E-DFDFE3BEF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8D8-4AAC-A819-0CEFEB74FF2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8D8-4AAC-A819-0CEFEB74FF2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8D8-4AAC-A819-0CEFEB74FF2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8D8-4AAC-A819-0CEFEB74FF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1F6-4005-827C-1C48786A66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1F6-4005-827C-1C48786A66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1F6-4005-827C-1C48786A66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1F6-4005-827C-1C48786A6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5B-4192-8C09-E288357F98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5B-4192-8C09-E288357F98A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75B-4192-8C09-E288357F98A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75B-4192-8C09-E288357F98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92-4081-897A-1F0D2D817C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F92-4081-897A-1F0D2D817C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F92-4081-897A-1F0D2D817C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F92-4081-897A-1F0D2D817C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3B-452A-825B-E067A1918D5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3B-452A-825B-E067A1918D5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3B-452A-825B-E067A1918D5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3B-452A-825B-E067A1918D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BE8-45B5-8AB0-4570845F50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BE8-45B5-8AB0-4570845F50C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BE8-45B5-8AB0-4570845F50C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BE8-45B5-8AB0-4570845F50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7A1-4F40-AE34-5034678C15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7A1-4F40-AE34-5034678C153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7A1-4F40-AE34-5034678C153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7A1-4F40-AE34-5034678C15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CCB-4D72-A311-487117C5490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CCB-4D72-A311-487117C5490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CCB-4D72-A311-487117C5490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CCB-4D72-A311-487117C549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18D-4805-A880-9334FB7CE4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218D-4805-A880-9334FB7CE42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18D-4805-A880-9334FB7CE42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18D-4805-A880-9334FB7CE4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Evaluación de Área Maquinas Inyectoras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E94-49D4-8F98-3FF77BBF6D7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E94-49D4-8F98-3FF77BBF6D7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E94-49D4-8F98-3FF77BBF6D7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E94-49D4-8F98-3FF77BBF6D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6533599"/>
        <c:axId val="499121679"/>
        <c:axId val="0"/>
      </c:bar3DChart>
      <c:catAx>
        <c:axId val="36653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99121679"/>
        <c:crosses val="autoZero"/>
        <c:auto val="1"/>
        <c:lblAlgn val="ctr"/>
        <c:lblOffset val="100"/>
        <c:noMultiLvlLbl val="0"/>
      </c:catAx>
      <c:valAx>
        <c:axId val="4991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366533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</xdr:colOff>
      <xdr:row>1</xdr:row>
      <xdr:rowOff>19442</xdr:rowOff>
    </xdr:from>
    <xdr:to>
      <xdr:col>2</xdr:col>
      <xdr:colOff>122121</xdr:colOff>
      <xdr:row>2</xdr:row>
      <xdr:rowOff>24887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305EB2-4179-E2B3-0B0A-9DF9C5905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" y="209942"/>
          <a:ext cx="745056" cy="462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7621</xdr:rowOff>
    </xdr:from>
    <xdr:to>
      <xdr:col>2</xdr:col>
      <xdr:colOff>865909</xdr:colOff>
      <xdr:row>4</xdr:row>
      <xdr:rowOff>289561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9B2238E-CC9C-4604-9530-34744F1AB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381001"/>
          <a:ext cx="1056409" cy="647700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78</xdr:row>
      <xdr:rowOff>138845</xdr:rowOff>
    </xdr:from>
    <xdr:to>
      <xdr:col>6</xdr:col>
      <xdr:colOff>49926</xdr:colOff>
      <xdr:row>102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2B2B77-390F-4B6A-A316-4991C70B5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15241</xdr:rowOff>
    </xdr:from>
    <xdr:to>
      <xdr:col>2</xdr:col>
      <xdr:colOff>487680</xdr:colOff>
      <xdr:row>3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5493E67-E4F0-47A3-8316-5D8AED32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8862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116</xdr:row>
      <xdr:rowOff>138845</xdr:rowOff>
    </xdr:from>
    <xdr:to>
      <xdr:col>6</xdr:col>
      <xdr:colOff>49926</xdr:colOff>
      <xdr:row>140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94DA2D-9AB3-4248-B192-72B5168CF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15241</xdr:rowOff>
    </xdr:from>
    <xdr:to>
      <xdr:col>2</xdr:col>
      <xdr:colOff>487680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92C15A9-CD99-4969-8991-1394C619C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20574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120</xdr:row>
      <xdr:rowOff>138845</xdr:rowOff>
    </xdr:from>
    <xdr:to>
      <xdr:col>6</xdr:col>
      <xdr:colOff>49926</xdr:colOff>
      <xdr:row>144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6A749B-07DD-4B7D-B486-8E0E5CB94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15241</xdr:rowOff>
    </xdr:from>
    <xdr:to>
      <xdr:col>2</xdr:col>
      <xdr:colOff>487680</xdr:colOff>
      <xdr:row>3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F9D2857-3E2A-4E1E-A82C-D6D576AAA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8862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116</xdr:row>
      <xdr:rowOff>138845</xdr:rowOff>
    </xdr:from>
    <xdr:to>
      <xdr:col>6</xdr:col>
      <xdr:colOff>49926</xdr:colOff>
      <xdr:row>140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45F4E8-4DE8-4438-9927-D2E01AF87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15241</xdr:rowOff>
    </xdr:from>
    <xdr:to>
      <xdr:col>2</xdr:col>
      <xdr:colOff>487680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4F63A5F-4863-40DA-85C7-8D5969C94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20574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120</xdr:row>
      <xdr:rowOff>138845</xdr:rowOff>
    </xdr:from>
    <xdr:to>
      <xdr:col>6</xdr:col>
      <xdr:colOff>49926</xdr:colOff>
      <xdr:row>144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755C5A-324A-44EF-A0F7-A47FB66A5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15241</xdr:rowOff>
    </xdr:from>
    <xdr:to>
      <xdr:col>2</xdr:col>
      <xdr:colOff>487680</xdr:colOff>
      <xdr:row>3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31E354C-6659-4BEC-ABFE-651FDBCE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8862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116</xdr:row>
      <xdr:rowOff>138845</xdr:rowOff>
    </xdr:from>
    <xdr:to>
      <xdr:col>6</xdr:col>
      <xdr:colOff>49926</xdr:colOff>
      <xdr:row>140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0C0656-23BD-4EB0-9B0A-F0006BA35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15241</xdr:rowOff>
    </xdr:from>
    <xdr:to>
      <xdr:col>2</xdr:col>
      <xdr:colOff>487680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660468F-E4FB-4FC1-A737-AC7015E0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20574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120</xdr:row>
      <xdr:rowOff>138845</xdr:rowOff>
    </xdr:from>
    <xdr:to>
      <xdr:col>6</xdr:col>
      <xdr:colOff>49926</xdr:colOff>
      <xdr:row>144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31232A-6EB6-48B6-8C49-2B5D94A2C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15241</xdr:rowOff>
    </xdr:from>
    <xdr:to>
      <xdr:col>2</xdr:col>
      <xdr:colOff>487680</xdr:colOff>
      <xdr:row>3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E94EAFD-20C3-4B9E-9AB1-538454791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8862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117</xdr:row>
      <xdr:rowOff>138845</xdr:rowOff>
    </xdr:from>
    <xdr:to>
      <xdr:col>6</xdr:col>
      <xdr:colOff>49926</xdr:colOff>
      <xdr:row>141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73813F-BD4A-46CA-A452-C63BD9B07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15241</xdr:rowOff>
    </xdr:from>
    <xdr:to>
      <xdr:col>2</xdr:col>
      <xdr:colOff>487680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15556D9-2156-487D-A274-89E533576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20574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120</xdr:row>
      <xdr:rowOff>138845</xdr:rowOff>
    </xdr:from>
    <xdr:to>
      <xdr:col>6</xdr:col>
      <xdr:colOff>49926</xdr:colOff>
      <xdr:row>144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89A006-2968-4AB6-B49A-36B0731C8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15241</xdr:rowOff>
    </xdr:from>
    <xdr:to>
      <xdr:col>2</xdr:col>
      <xdr:colOff>487680</xdr:colOff>
      <xdr:row>3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1ECE8F3-55E3-4BE6-A829-139D2E749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8862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119</xdr:row>
      <xdr:rowOff>138845</xdr:rowOff>
    </xdr:from>
    <xdr:to>
      <xdr:col>6</xdr:col>
      <xdr:colOff>49926</xdr:colOff>
      <xdr:row>143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CA5207-0611-4E60-9183-07609CBF2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15241</xdr:rowOff>
    </xdr:from>
    <xdr:to>
      <xdr:col>2</xdr:col>
      <xdr:colOff>487680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07213AC-A4E5-4CC3-9A2D-8CDBC1DB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88621"/>
          <a:ext cx="685800" cy="320039"/>
        </a:xfrm>
        <a:prstGeom prst="rect">
          <a:avLst/>
        </a:prstGeom>
      </xdr:spPr>
    </xdr:pic>
    <xdr:clientData/>
  </xdr:twoCellAnchor>
  <xdr:twoCellAnchor>
    <xdr:from>
      <xdr:col>2</xdr:col>
      <xdr:colOff>368027</xdr:colOff>
      <xdr:row>120</xdr:row>
      <xdr:rowOff>138845</xdr:rowOff>
    </xdr:from>
    <xdr:to>
      <xdr:col>6</xdr:col>
      <xdr:colOff>49926</xdr:colOff>
      <xdr:row>144</xdr:row>
      <xdr:rowOff>23110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30AA79-8403-4F5D-9A9C-0BD432010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3"/>
  <sheetViews>
    <sheetView showGridLines="0" zoomScale="117" zoomScaleNormal="117" workbookViewId="0">
      <selection activeCell="C81" sqref="C81"/>
    </sheetView>
  </sheetViews>
  <sheetFormatPr baseColWidth="10" defaultColWidth="11.5546875" defaultRowHeight="14.4"/>
  <cols>
    <col min="1" max="1" width="3" customWidth="1"/>
    <col min="2" max="2" width="9.88671875" style="1" customWidth="1"/>
    <col min="3" max="3" width="47.109375" customWidth="1"/>
    <col min="4" max="4" width="10.109375" customWidth="1"/>
    <col min="5" max="6" width="8.6640625" customWidth="1"/>
    <col min="7" max="7" width="28" bestFit="1" customWidth="1"/>
    <col min="8" max="8" width="8.6640625" customWidth="1"/>
    <col min="9" max="9" width="10" customWidth="1"/>
    <col min="10" max="10" width="8.6640625" customWidth="1"/>
    <col min="11" max="11" width="28" bestFit="1" customWidth="1"/>
  </cols>
  <sheetData>
    <row r="1" spans="2:11" ht="15" customHeight="1">
      <c r="B1" s="36" t="s">
        <v>46</v>
      </c>
      <c r="C1" s="53"/>
      <c r="D1" s="38"/>
      <c r="E1" s="39" t="s">
        <v>38</v>
      </c>
      <c r="F1" s="39"/>
      <c r="G1" s="40" t="s">
        <v>47</v>
      </c>
      <c r="H1" s="38"/>
      <c r="I1" s="39" t="s">
        <v>38</v>
      </c>
      <c r="J1" s="39"/>
      <c r="K1" s="40" t="s">
        <v>47</v>
      </c>
    </row>
    <row r="2" spans="2:11" ht="36" customHeight="1">
      <c r="B2" s="36"/>
      <c r="C2" s="37"/>
      <c r="D2" s="107" t="s">
        <v>40</v>
      </c>
      <c r="E2" s="108"/>
      <c r="F2" s="35"/>
      <c r="G2" s="42" t="s">
        <v>54</v>
      </c>
      <c r="H2" s="41"/>
      <c r="I2" s="35" t="s">
        <v>40</v>
      </c>
      <c r="J2" s="35"/>
      <c r="K2" s="42"/>
    </row>
    <row r="3" spans="2:11" ht="16.5" customHeight="1">
      <c r="B3" s="36" t="s">
        <v>37</v>
      </c>
      <c r="C3" s="37"/>
      <c r="D3" s="41"/>
      <c r="E3" s="35" t="s">
        <v>39</v>
      </c>
      <c r="F3" s="35"/>
      <c r="G3" s="43" t="s">
        <v>50</v>
      </c>
      <c r="H3" s="41"/>
      <c r="I3" s="35" t="s">
        <v>39</v>
      </c>
      <c r="J3" s="35"/>
      <c r="K3" s="43" t="s">
        <v>50</v>
      </c>
    </row>
    <row r="4" spans="2:11" ht="7.5" customHeight="1">
      <c r="D4" s="44"/>
      <c r="G4" s="45"/>
      <c r="H4" s="44"/>
      <c r="K4" s="45"/>
    </row>
    <row r="5" spans="2:11" ht="21.75" customHeight="1">
      <c r="B5" s="109" t="s">
        <v>49</v>
      </c>
      <c r="C5" s="110"/>
      <c r="D5" s="46" t="s">
        <v>0</v>
      </c>
      <c r="E5" s="2">
        <v>19</v>
      </c>
      <c r="F5" s="2"/>
      <c r="G5" s="12"/>
      <c r="H5" s="46" t="s">
        <v>0</v>
      </c>
      <c r="I5" s="2">
        <f>WEEKNUM(I6)</f>
        <v>15</v>
      </c>
      <c r="J5" s="2"/>
      <c r="K5" s="12"/>
    </row>
    <row r="6" spans="2:11">
      <c r="B6" s="111" t="s">
        <v>55</v>
      </c>
      <c r="C6" s="112"/>
      <c r="D6" s="46" t="s">
        <v>1</v>
      </c>
      <c r="E6" s="54">
        <v>45783</v>
      </c>
      <c r="F6" s="2"/>
      <c r="G6" s="12"/>
      <c r="H6" s="46" t="s">
        <v>1</v>
      </c>
      <c r="I6" s="54">
        <v>45759</v>
      </c>
      <c r="J6" s="2"/>
      <c r="K6" s="12"/>
    </row>
    <row r="7" spans="2:11" ht="28.8">
      <c r="B7" s="111"/>
      <c r="C7" s="112"/>
      <c r="D7" s="13" t="s">
        <v>2</v>
      </c>
      <c r="E7" s="3" t="s">
        <v>3</v>
      </c>
      <c r="F7" s="8" t="s">
        <v>4</v>
      </c>
      <c r="G7" s="47" t="s">
        <v>36</v>
      </c>
      <c r="H7" s="13" t="s">
        <v>2</v>
      </c>
      <c r="I7" s="3" t="s">
        <v>3</v>
      </c>
      <c r="J7" s="8" t="s">
        <v>4</v>
      </c>
      <c r="K7" s="47" t="s">
        <v>36</v>
      </c>
    </row>
    <row r="8" spans="2:11" ht="18.600000000000001" customHeight="1">
      <c r="B8" s="115" t="s">
        <v>5</v>
      </c>
      <c r="C8" s="115"/>
      <c r="D8" s="14"/>
      <c r="E8" s="4"/>
      <c r="F8" s="9"/>
      <c r="G8" s="15"/>
      <c r="H8" s="14"/>
      <c r="I8" s="4"/>
      <c r="J8" s="9"/>
      <c r="K8" s="15"/>
    </row>
    <row r="9" spans="2:11">
      <c r="B9" s="2">
        <v>1</v>
      </c>
      <c r="C9" s="18" t="s">
        <v>6</v>
      </c>
      <c r="D9" s="11"/>
      <c r="E9" s="2" t="s">
        <v>67</v>
      </c>
      <c r="F9" s="10"/>
      <c r="G9" s="12"/>
      <c r="H9" s="11"/>
      <c r="I9" s="2"/>
      <c r="J9" s="10"/>
      <c r="K9" s="12"/>
    </row>
    <row r="10" spans="2:11" ht="15" customHeight="1">
      <c r="B10" s="2">
        <v>2</v>
      </c>
      <c r="C10" s="19" t="s">
        <v>7</v>
      </c>
      <c r="D10" s="11" t="s">
        <v>67</v>
      </c>
      <c r="E10" s="2"/>
      <c r="F10" s="10"/>
      <c r="G10" s="12"/>
      <c r="H10" s="11"/>
      <c r="I10" s="2"/>
      <c r="J10" s="10"/>
      <c r="K10" s="12"/>
    </row>
    <row r="11" spans="2:11" ht="15" customHeight="1">
      <c r="B11" s="2">
        <v>3</v>
      </c>
      <c r="C11" s="19" t="s">
        <v>8</v>
      </c>
      <c r="D11" s="11"/>
      <c r="E11" s="2" t="s">
        <v>67</v>
      </c>
      <c r="F11" s="10"/>
      <c r="G11" s="12"/>
      <c r="H11" s="11"/>
      <c r="I11" s="2"/>
      <c r="J11" s="10"/>
      <c r="K11" s="12"/>
    </row>
    <row r="12" spans="2:11" ht="15" customHeight="1">
      <c r="B12" s="2">
        <v>4</v>
      </c>
      <c r="C12" s="19" t="s">
        <v>9</v>
      </c>
      <c r="D12" s="11" t="s">
        <v>67</v>
      </c>
      <c r="E12" s="2"/>
      <c r="F12" s="10"/>
      <c r="G12" s="12"/>
      <c r="H12" s="11"/>
      <c r="I12" s="2"/>
      <c r="J12" s="10"/>
      <c r="K12" s="12"/>
    </row>
    <row r="13" spans="2:11" ht="15" customHeight="1">
      <c r="B13" s="2">
        <v>5</v>
      </c>
      <c r="C13" s="19" t="s">
        <v>10</v>
      </c>
      <c r="D13" s="11"/>
      <c r="E13" s="2" t="s">
        <v>67</v>
      </c>
      <c r="F13" s="10"/>
      <c r="G13" s="12"/>
      <c r="H13" s="11"/>
      <c r="I13" s="2"/>
      <c r="J13" s="10"/>
      <c r="K13" s="12"/>
    </row>
    <row r="14" spans="2:11" ht="15" customHeight="1">
      <c r="B14" s="2">
        <v>6</v>
      </c>
      <c r="C14" s="19" t="s">
        <v>11</v>
      </c>
      <c r="D14" s="11"/>
      <c r="E14" s="2" t="s">
        <v>67</v>
      </c>
      <c r="F14" s="10"/>
      <c r="G14" s="12"/>
      <c r="H14" s="11"/>
      <c r="I14" s="2"/>
      <c r="J14" s="10"/>
      <c r="K14" s="12"/>
    </row>
    <row r="15" spans="2:11" ht="15" customHeight="1">
      <c r="B15" s="2">
        <v>7</v>
      </c>
      <c r="C15" s="19" t="s">
        <v>12</v>
      </c>
      <c r="D15" s="11" t="s">
        <v>67</v>
      </c>
      <c r="E15" s="2"/>
      <c r="F15" s="10"/>
      <c r="G15" s="12"/>
      <c r="H15" s="11"/>
      <c r="I15" s="2"/>
      <c r="J15" s="10"/>
      <c r="K15" s="12"/>
    </row>
    <row r="16" spans="2:11" ht="15" customHeight="1">
      <c r="B16" s="2">
        <v>8</v>
      </c>
      <c r="C16" s="19" t="s">
        <v>13</v>
      </c>
      <c r="D16" s="11" t="s">
        <v>67</v>
      </c>
      <c r="E16" s="2"/>
      <c r="F16" s="10"/>
      <c r="G16" s="12"/>
      <c r="H16" s="11"/>
      <c r="I16" s="2"/>
      <c r="J16" s="10"/>
      <c r="K16" s="12"/>
    </row>
    <row r="17" spans="2:11" ht="26.4" customHeight="1">
      <c r="B17" s="2">
        <v>9</v>
      </c>
      <c r="C17" s="19" t="s">
        <v>62</v>
      </c>
      <c r="D17" s="11"/>
      <c r="E17" s="2" t="s">
        <v>67</v>
      </c>
      <c r="F17" s="10"/>
      <c r="G17" s="12"/>
      <c r="H17" s="11"/>
      <c r="I17" s="2"/>
      <c r="J17" s="10"/>
      <c r="K17" s="12"/>
    </row>
    <row r="18" spans="2:11" ht="15" customHeight="1">
      <c r="B18" s="2">
        <v>10</v>
      </c>
      <c r="C18" s="19" t="s">
        <v>65</v>
      </c>
      <c r="D18" s="22" t="s">
        <v>67</v>
      </c>
      <c r="E18" s="23"/>
      <c r="F18" s="10"/>
      <c r="G18" s="12" t="s">
        <v>68</v>
      </c>
      <c r="H18" s="22"/>
      <c r="I18" s="23"/>
      <c r="J18" s="10"/>
      <c r="K18" s="12"/>
    </row>
    <row r="19" spans="2:11">
      <c r="B19" s="116" t="s">
        <v>15</v>
      </c>
      <c r="C19" s="116"/>
      <c r="D19" s="16"/>
      <c r="E19" s="6"/>
      <c r="F19" s="5"/>
      <c r="G19" s="48"/>
      <c r="H19" s="16"/>
      <c r="I19" s="6"/>
      <c r="J19" s="5"/>
      <c r="K19" s="48"/>
    </row>
    <row r="20" spans="2:11" ht="15.6">
      <c r="B20" s="2">
        <v>1</v>
      </c>
      <c r="C20" s="55" t="s">
        <v>16</v>
      </c>
      <c r="D20" s="56"/>
      <c r="E20" s="57"/>
      <c r="F20" s="58"/>
      <c r="G20" s="12"/>
      <c r="H20" s="11"/>
      <c r="I20" s="2"/>
      <c r="J20" s="12"/>
      <c r="K20" s="12"/>
    </row>
    <row r="21" spans="2:11" ht="15.6">
      <c r="B21" s="2">
        <v>2</v>
      </c>
      <c r="C21" s="55" t="s">
        <v>17</v>
      </c>
      <c r="D21" s="56"/>
      <c r="E21" s="57"/>
      <c r="F21" s="58"/>
      <c r="G21" s="12"/>
      <c r="H21" s="11"/>
      <c r="I21" s="2"/>
      <c r="J21" s="12"/>
      <c r="K21" s="12"/>
    </row>
    <row r="22" spans="2:11" ht="15.6">
      <c r="B22" s="2">
        <v>3</v>
      </c>
      <c r="C22" s="55" t="s">
        <v>53</v>
      </c>
      <c r="D22" s="56"/>
      <c r="E22" s="57"/>
      <c r="F22" s="58"/>
      <c r="G22" s="12"/>
      <c r="H22" s="11"/>
      <c r="I22" s="2"/>
      <c r="J22" s="12"/>
      <c r="K22" s="12"/>
    </row>
    <row r="23" spans="2:11" ht="15.6">
      <c r="B23" s="2">
        <v>4</v>
      </c>
      <c r="C23" s="55" t="s">
        <v>52</v>
      </c>
      <c r="D23" s="56"/>
      <c r="E23" s="57"/>
      <c r="F23" s="58"/>
      <c r="G23" s="12"/>
      <c r="H23" s="11"/>
      <c r="I23" s="2"/>
      <c r="J23" s="12"/>
      <c r="K23" s="12"/>
    </row>
    <row r="24" spans="2:11" ht="15.6">
      <c r="B24" s="2">
        <v>5</v>
      </c>
      <c r="C24" s="55" t="s">
        <v>56</v>
      </c>
      <c r="D24" s="56"/>
      <c r="E24" s="57"/>
      <c r="F24" s="58"/>
      <c r="G24" s="12"/>
      <c r="H24" s="11"/>
      <c r="I24" s="2"/>
      <c r="J24" s="12"/>
      <c r="K24" s="12"/>
    </row>
    <row r="25" spans="2:11" ht="15.6">
      <c r="B25" s="2">
        <v>6</v>
      </c>
      <c r="C25" s="55" t="s">
        <v>57</v>
      </c>
      <c r="D25" s="56"/>
      <c r="E25" s="57"/>
      <c r="F25" s="58"/>
      <c r="G25" s="12"/>
      <c r="H25" s="11"/>
      <c r="I25" s="2"/>
      <c r="J25" s="12"/>
      <c r="K25" s="12"/>
    </row>
    <row r="26" spans="2:11" ht="15.6">
      <c r="B26" s="2">
        <v>7</v>
      </c>
      <c r="C26" s="55" t="s">
        <v>44</v>
      </c>
      <c r="D26" s="56"/>
      <c r="E26" s="57"/>
      <c r="F26" s="58"/>
      <c r="G26" s="12"/>
      <c r="H26" s="11"/>
      <c r="I26" s="2"/>
      <c r="J26" s="12"/>
      <c r="K26" s="12"/>
    </row>
    <row r="27" spans="2:11" ht="15.6">
      <c r="B27" s="2">
        <v>8</v>
      </c>
      <c r="C27" s="55" t="s">
        <v>45</v>
      </c>
      <c r="D27" s="56"/>
      <c r="E27" s="57"/>
      <c r="F27" s="58"/>
      <c r="G27" s="12"/>
      <c r="H27" s="11"/>
      <c r="I27" s="2"/>
      <c r="J27" s="12"/>
      <c r="K27" s="12"/>
    </row>
    <row r="28" spans="2:11" ht="15.6">
      <c r="B28" s="2">
        <v>9</v>
      </c>
      <c r="C28" s="55" t="s">
        <v>41</v>
      </c>
      <c r="D28" s="56"/>
      <c r="E28" s="57"/>
      <c r="F28" s="58"/>
      <c r="G28" s="12"/>
      <c r="H28" s="11"/>
      <c r="I28" s="2"/>
      <c r="J28" s="12"/>
      <c r="K28" s="12"/>
    </row>
    <row r="29" spans="2:11" ht="15.6">
      <c r="B29" s="2">
        <v>10</v>
      </c>
      <c r="C29" s="55" t="s">
        <v>58</v>
      </c>
      <c r="D29" s="56"/>
      <c r="E29" s="57"/>
      <c r="F29" s="58"/>
      <c r="G29" s="12"/>
      <c r="H29" s="11"/>
      <c r="I29" s="2"/>
      <c r="J29" s="12"/>
      <c r="K29" s="12"/>
    </row>
    <row r="30" spans="2:11" ht="15.6">
      <c r="B30" s="2">
        <v>11</v>
      </c>
      <c r="C30" s="55" t="s">
        <v>42</v>
      </c>
      <c r="D30" s="56"/>
      <c r="E30" s="57"/>
      <c r="F30" s="58"/>
      <c r="G30" s="12"/>
      <c r="H30" s="11"/>
      <c r="I30" s="2"/>
      <c r="J30" s="12"/>
      <c r="K30" s="12"/>
    </row>
    <row r="31" spans="2:11" ht="31.2">
      <c r="B31" s="2">
        <v>12</v>
      </c>
      <c r="C31" s="55" t="s">
        <v>51</v>
      </c>
      <c r="D31" s="59"/>
      <c r="E31" s="60"/>
      <c r="F31" s="61"/>
      <c r="G31" s="12" t="s">
        <v>69</v>
      </c>
      <c r="H31" s="22"/>
      <c r="I31" s="23"/>
      <c r="J31" s="24"/>
      <c r="K31" s="12"/>
    </row>
    <row r="32" spans="2:11">
      <c r="B32" s="113" t="s">
        <v>18</v>
      </c>
      <c r="C32" s="114"/>
      <c r="D32" s="16"/>
      <c r="E32" s="5"/>
      <c r="F32" s="5"/>
      <c r="G32" s="48"/>
      <c r="H32" s="16"/>
      <c r="I32" s="5"/>
      <c r="J32" s="5"/>
      <c r="K32" s="48"/>
    </row>
    <row r="33" spans="2:11" ht="28.8">
      <c r="B33" s="2">
        <v>1</v>
      </c>
      <c r="C33" s="20" t="s">
        <v>19</v>
      </c>
      <c r="D33" s="11"/>
      <c r="E33" s="2"/>
      <c r="F33" s="12" t="s">
        <v>67</v>
      </c>
      <c r="G33" s="12"/>
      <c r="H33" s="11"/>
      <c r="I33" s="2"/>
      <c r="J33" s="12"/>
      <c r="K33" s="12"/>
    </row>
    <row r="34" spans="2:11" ht="28.8">
      <c r="B34" s="2">
        <v>2</v>
      </c>
      <c r="C34" s="20" t="s">
        <v>20</v>
      </c>
      <c r="D34" s="11"/>
      <c r="E34" s="2"/>
      <c r="F34" s="12" t="s">
        <v>67</v>
      </c>
      <c r="G34" s="12"/>
      <c r="H34" s="11"/>
      <c r="I34" s="2"/>
      <c r="J34" s="12"/>
      <c r="K34" s="12"/>
    </row>
    <row r="35" spans="2:11" ht="28.8">
      <c r="B35" s="2">
        <v>3</v>
      </c>
      <c r="C35" s="20" t="s">
        <v>63</v>
      </c>
      <c r="D35" s="11"/>
      <c r="E35" s="2" t="s">
        <v>67</v>
      </c>
      <c r="F35" s="12"/>
      <c r="G35" s="12"/>
      <c r="H35" s="11"/>
      <c r="I35" s="2"/>
      <c r="J35" s="12"/>
      <c r="K35" s="12"/>
    </row>
    <row r="36" spans="2:11" ht="28.8">
      <c r="B36" s="2">
        <v>4</v>
      </c>
      <c r="C36" s="20" t="s">
        <v>64</v>
      </c>
      <c r="D36" s="11" t="s">
        <v>67</v>
      </c>
      <c r="E36" s="2"/>
      <c r="F36" s="12"/>
      <c r="G36" s="12"/>
      <c r="H36" s="11"/>
      <c r="I36" s="2"/>
      <c r="J36" s="12"/>
      <c r="K36" s="12"/>
    </row>
    <row r="37" spans="2:11" ht="28.8">
      <c r="B37" s="2">
        <v>5</v>
      </c>
      <c r="C37" s="20" t="s">
        <v>21</v>
      </c>
      <c r="D37" s="11"/>
      <c r="E37" s="2"/>
      <c r="F37" s="12" t="s">
        <v>67</v>
      </c>
      <c r="G37" s="12"/>
      <c r="H37" s="11"/>
      <c r="I37" s="2"/>
      <c r="J37" s="12"/>
      <c r="K37" s="12"/>
    </row>
    <row r="38" spans="2:11" ht="28.8">
      <c r="B38" s="2">
        <v>6</v>
      </c>
      <c r="C38" s="20" t="s">
        <v>22</v>
      </c>
      <c r="D38" s="22"/>
      <c r="E38" s="23"/>
      <c r="F38" s="24" t="s">
        <v>67</v>
      </c>
      <c r="G38" s="12"/>
      <c r="H38" s="22"/>
      <c r="I38" s="23"/>
      <c r="J38" s="24"/>
      <c r="K38" s="12"/>
    </row>
    <row r="39" spans="2:11">
      <c r="B39" s="113" t="s">
        <v>23</v>
      </c>
      <c r="C39" s="114"/>
      <c r="D39" s="16"/>
      <c r="E39" s="5"/>
      <c r="F39" s="5"/>
      <c r="G39" s="48"/>
      <c r="H39" s="16"/>
      <c r="I39" s="5"/>
      <c r="J39" s="5"/>
      <c r="K39" s="48"/>
    </row>
    <row r="40" spans="2:11">
      <c r="B40" s="2">
        <v>1</v>
      </c>
      <c r="C40" s="20" t="s">
        <v>24</v>
      </c>
      <c r="D40" s="11"/>
      <c r="E40" s="2"/>
      <c r="F40" s="10"/>
      <c r="G40" s="12" t="s">
        <v>71</v>
      </c>
      <c r="H40" s="11"/>
      <c r="I40" s="2"/>
      <c r="J40" s="10"/>
      <c r="K40" s="12"/>
    </row>
    <row r="41" spans="2:11" ht="28.8">
      <c r="B41" s="2">
        <v>2</v>
      </c>
      <c r="C41" s="20" t="s">
        <v>25</v>
      </c>
      <c r="D41" s="11"/>
      <c r="E41" s="2"/>
      <c r="F41" s="10"/>
      <c r="G41" s="12" t="s">
        <v>70</v>
      </c>
      <c r="H41" s="11"/>
      <c r="I41" s="2"/>
      <c r="J41" s="10"/>
      <c r="K41" s="12"/>
    </row>
    <row r="42" spans="2:11">
      <c r="B42" s="2">
        <v>3</v>
      </c>
      <c r="C42" s="20" t="s">
        <v>26</v>
      </c>
      <c r="D42" s="11"/>
      <c r="E42" s="2"/>
      <c r="F42" s="10"/>
      <c r="G42" s="49"/>
      <c r="H42" s="11"/>
      <c r="I42" s="2"/>
      <c r="J42" s="10"/>
      <c r="K42" s="49"/>
    </row>
    <row r="43" spans="2:11">
      <c r="B43" s="2">
        <v>4</v>
      </c>
      <c r="C43" s="21" t="s">
        <v>27</v>
      </c>
      <c r="D43" s="11"/>
      <c r="E43" s="2"/>
      <c r="F43" s="10"/>
      <c r="G43" s="12"/>
      <c r="H43" s="11"/>
      <c r="I43" s="2"/>
      <c r="J43" s="10"/>
      <c r="K43" s="12"/>
    </row>
    <row r="44" spans="2:11">
      <c r="B44" s="113" t="s">
        <v>28</v>
      </c>
      <c r="C44" s="114"/>
      <c r="D44" s="16"/>
      <c r="E44" s="5"/>
      <c r="F44" s="5"/>
      <c r="G44" s="48"/>
      <c r="H44" s="16"/>
      <c r="I44" s="5"/>
      <c r="J44" s="5"/>
      <c r="K44" s="48"/>
    </row>
    <row r="45" spans="2:11" ht="15.6">
      <c r="B45" s="2">
        <v>1</v>
      </c>
      <c r="C45" s="63" t="s">
        <v>29</v>
      </c>
      <c r="D45" s="56"/>
      <c r="E45" s="57"/>
      <c r="F45" s="10"/>
      <c r="G45" s="12"/>
      <c r="H45" s="11"/>
      <c r="I45" s="2"/>
      <c r="J45" s="10"/>
      <c r="K45" s="12"/>
    </row>
    <row r="46" spans="2:11" ht="15.6">
      <c r="B46" s="2">
        <v>2</v>
      </c>
      <c r="C46" s="62" t="s">
        <v>30</v>
      </c>
      <c r="D46" s="56"/>
      <c r="E46" s="57"/>
      <c r="F46" s="10"/>
      <c r="G46" s="12"/>
      <c r="H46" s="11"/>
      <c r="I46" s="2"/>
      <c r="J46" s="10"/>
      <c r="K46" s="12"/>
    </row>
    <row r="47" spans="2:11" ht="31.2">
      <c r="B47" s="2">
        <v>3</v>
      </c>
      <c r="C47" s="62" t="s">
        <v>31</v>
      </c>
      <c r="D47" s="56"/>
      <c r="E47" s="57"/>
      <c r="F47" s="10"/>
      <c r="G47" s="12"/>
      <c r="H47" s="11"/>
      <c r="I47" s="2"/>
      <c r="J47" s="10"/>
      <c r="K47" s="12"/>
    </row>
    <row r="48" spans="2:11" ht="15.6">
      <c r="B48" s="2">
        <v>4</v>
      </c>
      <c r="C48" s="63" t="s">
        <v>32</v>
      </c>
      <c r="D48" s="59"/>
      <c r="E48" s="60"/>
      <c r="F48" s="10"/>
      <c r="G48" s="12"/>
      <c r="H48" s="22"/>
      <c r="I48" s="23"/>
      <c r="J48" s="10"/>
      <c r="K48" s="12"/>
    </row>
    <row r="49" spans="2:11">
      <c r="B49" s="113" t="s">
        <v>33</v>
      </c>
      <c r="C49" s="114"/>
      <c r="D49" s="16"/>
      <c r="E49" s="5"/>
      <c r="F49" s="5"/>
      <c r="G49" s="48"/>
      <c r="H49" s="16"/>
      <c r="I49" s="5"/>
      <c r="J49" s="5"/>
      <c r="K49" s="48"/>
    </row>
    <row r="50" spans="2:11" ht="43.2">
      <c r="B50" s="2">
        <v>1</v>
      </c>
      <c r="C50" s="20" t="s">
        <v>60</v>
      </c>
      <c r="D50" s="29"/>
      <c r="E50" s="30"/>
      <c r="F50" s="31"/>
      <c r="G50" s="12"/>
      <c r="H50" s="29"/>
      <c r="I50" s="30"/>
      <c r="J50" s="31"/>
      <c r="K50" s="12"/>
    </row>
    <row r="51" spans="2:11" ht="28.8">
      <c r="B51" s="2">
        <v>2</v>
      </c>
      <c r="C51" s="20" t="s">
        <v>61</v>
      </c>
      <c r="D51" s="11"/>
      <c r="E51" s="2"/>
      <c r="F51" s="12"/>
      <c r="G51" s="12"/>
      <c r="H51" s="11"/>
      <c r="I51" s="2"/>
      <c r="J51" s="12"/>
      <c r="K51" s="12"/>
    </row>
    <row r="52" spans="2:11" ht="28.8">
      <c r="B52" s="2">
        <v>3</v>
      </c>
      <c r="C52" s="20" t="s">
        <v>59</v>
      </c>
      <c r="D52" s="11"/>
      <c r="E52" s="2"/>
      <c r="F52" s="12"/>
      <c r="G52" s="12"/>
      <c r="H52" s="11"/>
      <c r="I52" s="2"/>
      <c r="J52" s="12"/>
      <c r="K52" s="12"/>
    </row>
    <row r="53" spans="2:11" ht="15" thickBot="1">
      <c r="B53" s="2">
        <v>4</v>
      </c>
      <c r="C53" s="20" t="s">
        <v>66</v>
      </c>
      <c r="D53" s="50"/>
      <c r="E53" s="51"/>
      <c r="F53" s="51"/>
      <c r="G53" s="52"/>
      <c r="H53" s="50"/>
      <c r="I53" s="51"/>
      <c r="J53" s="51"/>
      <c r="K53" s="52"/>
    </row>
  </sheetData>
  <mergeCells count="9">
    <mergeCell ref="D2:E2"/>
    <mergeCell ref="B5:C5"/>
    <mergeCell ref="B6:C7"/>
    <mergeCell ref="B49:C49"/>
    <mergeCell ref="B39:C39"/>
    <mergeCell ref="B44:C44"/>
    <mergeCell ref="B32:C32"/>
    <mergeCell ref="B8:C8"/>
    <mergeCell ref="B19:C19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90BD-2DBB-4B8A-8441-4B09417F35D6}">
  <dimension ref="B2:O77"/>
  <sheetViews>
    <sheetView showGridLines="0" topLeftCell="A3" zoomScale="70" zoomScaleNormal="70" workbookViewId="0">
      <selection activeCell="E3" sqref="E3:F3"/>
    </sheetView>
  </sheetViews>
  <sheetFormatPr baseColWidth="10" defaultColWidth="11.5546875" defaultRowHeight="14.4"/>
  <cols>
    <col min="1" max="1" width="11.5546875" customWidth="1"/>
    <col min="2" max="2" width="3.33203125" style="1" customWidth="1"/>
    <col min="3" max="3" width="58.44140625" bestFit="1" customWidth="1"/>
    <col min="4" max="12" width="8.6640625" customWidth="1"/>
    <col min="14" max="14" width="9.109375" customWidth="1"/>
    <col min="15" max="15" width="8.33203125" customWidth="1"/>
  </cols>
  <sheetData>
    <row r="2" spans="2:15" ht="15" thickBot="1"/>
    <row r="3" spans="2:15">
      <c r="B3" s="117" t="s">
        <v>43</v>
      </c>
      <c r="C3" s="118"/>
      <c r="D3" s="64" t="s">
        <v>0</v>
      </c>
      <c r="E3" s="121">
        <f>WEEKNUM(E4)</f>
        <v>19</v>
      </c>
      <c r="F3" s="122"/>
      <c r="G3" s="64" t="s">
        <v>0</v>
      </c>
      <c r="H3" s="121">
        <f>WEEKNUM(H4)</f>
        <v>29</v>
      </c>
      <c r="I3" s="122"/>
      <c r="J3" s="64" t="s">
        <v>0</v>
      </c>
      <c r="K3" s="121">
        <f>WEEKNUM(K4)</f>
        <v>30</v>
      </c>
      <c r="L3" s="122"/>
      <c r="M3" s="64" t="s">
        <v>0</v>
      </c>
      <c r="N3" s="123">
        <f>WEEKNUM(N4)</f>
        <v>34</v>
      </c>
      <c r="O3" s="124"/>
    </row>
    <row r="4" spans="2:15">
      <c r="B4" s="119"/>
      <c r="C4" s="120"/>
      <c r="D4" s="11" t="s">
        <v>1</v>
      </c>
      <c r="E4" s="125">
        <v>45783</v>
      </c>
      <c r="F4" s="126"/>
      <c r="G4" s="11" t="s">
        <v>1</v>
      </c>
      <c r="H4" s="125">
        <v>45853</v>
      </c>
      <c r="I4" s="126"/>
      <c r="J4" s="11" t="s">
        <v>1</v>
      </c>
      <c r="K4" s="127">
        <v>45859</v>
      </c>
      <c r="L4" s="128"/>
      <c r="M4" s="11" t="s">
        <v>1</v>
      </c>
      <c r="N4" s="129">
        <v>45887</v>
      </c>
      <c r="O4" s="130"/>
    </row>
    <row r="5" spans="2:15" ht="24" customHeight="1">
      <c r="B5" s="131" t="s">
        <v>48</v>
      </c>
      <c r="C5" s="132"/>
      <c r="D5" s="13" t="s">
        <v>2</v>
      </c>
      <c r="E5" s="3" t="s">
        <v>3</v>
      </c>
      <c r="F5" s="65" t="s">
        <v>4</v>
      </c>
      <c r="G5" s="13" t="s">
        <v>2</v>
      </c>
      <c r="H5" s="3" t="s">
        <v>3</v>
      </c>
      <c r="I5" s="65" t="s">
        <v>4</v>
      </c>
      <c r="J5" s="13" t="s">
        <v>2</v>
      </c>
      <c r="K5" s="3" t="s">
        <v>3</v>
      </c>
      <c r="L5" s="65" t="s">
        <v>4</v>
      </c>
      <c r="M5" s="13" t="s">
        <v>2</v>
      </c>
      <c r="N5" s="3" t="s">
        <v>3</v>
      </c>
      <c r="O5" s="65" t="s">
        <v>4</v>
      </c>
    </row>
    <row r="6" spans="2:15" ht="21.6" customHeight="1">
      <c r="B6" s="133" t="s">
        <v>5</v>
      </c>
      <c r="C6" s="134"/>
      <c r="D6" s="14"/>
      <c r="E6" s="4"/>
      <c r="F6" s="15"/>
      <c r="G6" s="14"/>
      <c r="H6" s="4"/>
      <c r="I6" s="15"/>
      <c r="J6" s="14"/>
      <c r="K6" s="4"/>
      <c r="L6" s="15"/>
      <c r="M6" s="14"/>
      <c r="N6" s="4"/>
      <c r="O6" s="15"/>
    </row>
    <row r="7" spans="2:15">
      <c r="B7" s="11">
        <v>1</v>
      </c>
      <c r="C7" s="18" t="s">
        <v>6</v>
      </c>
      <c r="D7" s="11"/>
      <c r="E7" s="2" t="s">
        <v>72</v>
      </c>
      <c r="F7" s="12"/>
      <c r="G7" s="11"/>
      <c r="H7" s="2" t="s">
        <v>72</v>
      </c>
      <c r="I7" s="12"/>
      <c r="J7" s="11"/>
      <c r="K7" s="2" t="s">
        <v>72</v>
      </c>
      <c r="L7" s="12"/>
      <c r="M7" s="11"/>
      <c r="N7" s="2" t="s">
        <v>72</v>
      </c>
      <c r="O7" s="12"/>
    </row>
    <row r="8" spans="2:15">
      <c r="B8" s="11">
        <v>2</v>
      </c>
      <c r="C8" s="19" t="s">
        <v>7</v>
      </c>
      <c r="D8" s="11" t="s">
        <v>72</v>
      </c>
      <c r="E8" s="2"/>
      <c r="F8" s="12"/>
      <c r="G8" s="11" t="s">
        <v>72</v>
      </c>
      <c r="H8" s="2"/>
      <c r="I8" s="12"/>
      <c r="J8" s="11" t="s">
        <v>72</v>
      </c>
      <c r="K8" s="2"/>
      <c r="L8" s="12"/>
      <c r="M8" s="11" t="s">
        <v>72</v>
      </c>
      <c r="N8" s="2"/>
      <c r="O8" s="12"/>
    </row>
    <row r="9" spans="2:15" ht="15" customHeight="1">
      <c r="B9" s="11">
        <v>3</v>
      </c>
      <c r="C9" s="19" t="s">
        <v>8</v>
      </c>
      <c r="D9" s="11"/>
      <c r="E9" s="2" t="s">
        <v>72</v>
      </c>
      <c r="F9" s="12"/>
      <c r="G9" s="11"/>
      <c r="H9" s="2" t="s">
        <v>72</v>
      </c>
      <c r="I9" s="12"/>
      <c r="J9" s="11"/>
      <c r="K9" s="2" t="s">
        <v>72</v>
      </c>
      <c r="L9" s="12"/>
      <c r="M9" s="11"/>
      <c r="N9" s="2" t="s">
        <v>72</v>
      </c>
      <c r="O9" s="12"/>
    </row>
    <row r="10" spans="2:15">
      <c r="B10" s="11">
        <v>4</v>
      </c>
      <c r="C10" s="19" t="s">
        <v>9</v>
      </c>
      <c r="D10" s="11" t="s">
        <v>72</v>
      </c>
      <c r="E10" s="2"/>
      <c r="F10" s="12"/>
      <c r="G10" s="11" t="s">
        <v>72</v>
      </c>
      <c r="H10" s="2"/>
      <c r="I10" s="12"/>
      <c r="J10" s="11" t="s">
        <v>72</v>
      </c>
      <c r="K10" s="2"/>
      <c r="L10" s="12"/>
      <c r="M10" s="11" t="s">
        <v>72</v>
      </c>
      <c r="N10" s="2"/>
      <c r="O10" s="12"/>
    </row>
    <row r="11" spans="2:15" ht="15" customHeight="1">
      <c r="B11" s="11">
        <v>5</v>
      </c>
      <c r="C11" s="19" t="s">
        <v>10</v>
      </c>
      <c r="D11" s="11"/>
      <c r="E11" s="2" t="s">
        <v>72</v>
      </c>
      <c r="F11" s="12"/>
      <c r="G11" s="11"/>
      <c r="H11" s="2" t="s">
        <v>72</v>
      </c>
      <c r="I11" s="12"/>
      <c r="J11" s="11"/>
      <c r="K11" s="2" t="s">
        <v>72</v>
      </c>
      <c r="L11" s="12"/>
      <c r="M11" s="11"/>
      <c r="N11" s="2" t="s">
        <v>72</v>
      </c>
      <c r="O11" s="12"/>
    </row>
    <row r="12" spans="2:15">
      <c r="B12" s="11">
        <v>6</v>
      </c>
      <c r="C12" s="19" t="s">
        <v>11</v>
      </c>
      <c r="D12" s="11"/>
      <c r="E12" s="2" t="s">
        <v>72</v>
      </c>
      <c r="F12" s="12"/>
      <c r="G12" s="11"/>
      <c r="H12" s="2" t="s">
        <v>72</v>
      </c>
      <c r="I12" s="12"/>
      <c r="J12" s="11"/>
      <c r="K12" s="2" t="s">
        <v>72</v>
      </c>
      <c r="L12" s="12"/>
      <c r="M12" s="11"/>
      <c r="N12" s="2" t="s">
        <v>72</v>
      </c>
      <c r="O12" s="12"/>
    </row>
    <row r="13" spans="2:15" ht="15" customHeight="1">
      <c r="B13" s="11">
        <v>7</v>
      </c>
      <c r="C13" s="19" t="s">
        <v>12</v>
      </c>
      <c r="D13" s="11" t="s">
        <v>72</v>
      </c>
      <c r="E13" s="2"/>
      <c r="F13" s="12"/>
      <c r="G13" s="11"/>
      <c r="H13" s="2" t="s">
        <v>72</v>
      </c>
      <c r="I13" s="12"/>
      <c r="J13" s="11"/>
      <c r="K13" s="2" t="s">
        <v>72</v>
      </c>
      <c r="L13" s="12"/>
      <c r="M13" s="11" t="s">
        <v>72</v>
      </c>
      <c r="N13" s="2"/>
      <c r="O13" s="12"/>
    </row>
    <row r="14" spans="2:15">
      <c r="B14" s="11">
        <v>8</v>
      </c>
      <c r="C14" s="19" t="s">
        <v>13</v>
      </c>
      <c r="D14" s="11" t="s">
        <v>72</v>
      </c>
      <c r="E14" s="2"/>
      <c r="F14" s="12"/>
      <c r="G14" s="11" t="s">
        <v>72</v>
      </c>
      <c r="H14" s="2"/>
      <c r="I14" s="12"/>
      <c r="J14" s="11" t="s">
        <v>72</v>
      </c>
      <c r="K14" s="2"/>
      <c r="L14" s="12"/>
      <c r="M14" s="11" t="s">
        <v>72</v>
      </c>
      <c r="N14" s="2"/>
      <c r="O14" s="12"/>
    </row>
    <row r="15" spans="2:15" ht="15" customHeight="1">
      <c r="B15" s="11">
        <v>9</v>
      </c>
      <c r="C15" s="19" t="s">
        <v>62</v>
      </c>
      <c r="D15" s="11"/>
      <c r="E15" s="2" t="s">
        <v>72</v>
      </c>
      <c r="F15" s="12"/>
      <c r="G15" s="11"/>
      <c r="H15" s="2" t="s">
        <v>72</v>
      </c>
      <c r="I15" s="12"/>
      <c r="J15" s="11"/>
      <c r="K15" s="2" t="s">
        <v>72</v>
      </c>
      <c r="L15" s="12"/>
      <c r="M15" s="11"/>
      <c r="N15" s="2" t="s">
        <v>72</v>
      </c>
      <c r="O15" s="12"/>
    </row>
    <row r="16" spans="2:15" ht="15.75" customHeight="1" thickBot="1">
      <c r="B16" s="11">
        <v>10</v>
      </c>
      <c r="C16" s="19" t="s">
        <v>65</v>
      </c>
      <c r="D16" s="22" t="s">
        <v>72</v>
      </c>
      <c r="E16" s="23"/>
      <c r="F16" s="24"/>
      <c r="G16" s="22" t="s">
        <v>72</v>
      </c>
      <c r="H16" s="23"/>
      <c r="I16" s="24"/>
      <c r="J16" s="22" t="s">
        <v>72</v>
      </c>
      <c r="K16" s="23"/>
      <c r="L16" s="24"/>
      <c r="M16" s="22" t="s">
        <v>72</v>
      </c>
      <c r="N16" s="23"/>
      <c r="O16" s="24"/>
    </row>
    <row r="17" spans="2:15" ht="15.75" customHeight="1" thickBot="1">
      <c r="B17" s="135" t="s">
        <v>14</v>
      </c>
      <c r="C17" s="136"/>
      <c r="D17" s="137">
        <f>(COUNTIF(D7:D16, "X"))/((COUNTA($C$7:$C$16))-(COUNTA(F7:F16)))</f>
        <v>0.5</v>
      </c>
      <c r="E17" s="138"/>
      <c r="F17" s="139"/>
      <c r="G17" s="137">
        <f>(COUNTIF(G7:G16, "X"))/((COUNTA($C$7:$C$16))-(COUNTA(I7:I16)))</f>
        <v>0.4</v>
      </c>
      <c r="H17" s="138"/>
      <c r="I17" s="139"/>
      <c r="J17" s="137">
        <f>(COUNTIF(J7:J16, "X"))/((COUNTA($C$7:$C$16))-(COUNTA(L7:L16)))</f>
        <v>0.4</v>
      </c>
      <c r="K17" s="138"/>
      <c r="L17" s="139"/>
      <c r="M17" s="137">
        <f>(COUNTIF(M7:M16, "X"))/((COUNTA($C$7:$C$16))-(COUNTA(O7:O16)))</f>
        <v>0.5</v>
      </c>
      <c r="N17" s="138"/>
      <c r="O17" s="139"/>
    </row>
    <row r="18" spans="2:15" ht="22.2" customHeight="1">
      <c r="B18" s="140" t="s">
        <v>15</v>
      </c>
      <c r="C18" s="141"/>
      <c r="D18" s="25"/>
      <c r="E18" s="26"/>
      <c r="F18" s="27"/>
      <c r="G18" s="25"/>
      <c r="H18" s="26"/>
      <c r="I18" s="27"/>
      <c r="J18" s="25"/>
      <c r="K18" s="26"/>
      <c r="L18" s="27"/>
      <c r="M18" s="25"/>
      <c r="N18" s="26"/>
      <c r="O18" s="27"/>
    </row>
    <row r="19" spans="2:15" ht="15" customHeight="1">
      <c r="B19" s="11">
        <v>1</v>
      </c>
      <c r="C19" s="66" t="s">
        <v>16</v>
      </c>
      <c r="D19" s="11"/>
      <c r="E19" s="2" t="s">
        <v>67</v>
      </c>
      <c r="F19" s="12"/>
      <c r="G19" s="11"/>
      <c r="H19" s="2" t="s">
        <v>72</v>
      </c>
      <c r="I19" s="12"/>
      <c r="J19" s="11"/>
      <c r="K19" s="2" t="s">
        <v>72</v>
      </c>
      <c r="L19" s="12"/>
      <c r="M19" s="11"/>
      <c r="N19" s="2" t="s">
        <v>72</v>
      </c>
      <c r="O19" s="12"/>
    </row>
    <row r="20" spans="2:15">
      <c r="B20" s="11">
        <v>2</v>
      </c>
      <c r="C20" s="66" t="s">
        <v>17</v>
      </c>
      <c r="D20" s="11"/>
      <c r="E20" s="2" t="s">
        <v>67</v>
      </c>
      <c r="F20" s="12"/>
      <c r="G20" s="11"/>
      <c r="H20" s="2" t="s">
        <v>72</v>
      </c>
      <c r="I20" s="12"/>
      <c r="J20" s="11"/>
      <c r="K20" s="2" t="s">
        <v>72</v>
      </c>
      <c r="L20" s="12"/>
      <c r="M20" s="11"/>
      <c r="N20" s="2" t="s">
        <v>72</v>
      </c>
      <c r="O20" s="12"/>
    </row>
    <row r="21" spans="2:15" ht="15" customHeight="1">
      <c r="B21" s="11">
        <v>3</v>
      </c>
      <c r="C21" s="66" t="s">
        <v>53</v>
      </c>
      <c r="D21" s="11"/>
      <c r="E21" s="2" t="s">
        <v>67</v>
      </c>
      <c r="F21" s="12"/>
      <c r="G21" s="11"/>
      <c r="H21" s="2" t="s">
        <v>72</v>
      </c>
      <c r="I21" s="12"/>
      <c r="J21" s="11"/>
      <c r="K21" s="2" t="s">
        <v>72</v>
      </c>
      <c r="L21" s="12"/>
      <c r="M21" s="11"/>
      <c r="N21" s="2" t="s">
        <v>72</v>
      </c>
      <c r="O21" s="12"/>
    </row>
    <row r="22" spans="2:15" ht="15" customHeight="1">
      <c r="B22" s="11">
        <v>4</v>
      </c>
      <c r="C22" s="66" t="s">
        <v>52</v>
      </c>
      <c r="D22" s="11"/>
      <c r="E22" s="2" t="s">
        <v>67</v>
      </c>
      <c r="F22" s="12"/>
      <c r="G22" s="11"/>
      <c r="H22" s="2" t="s">
        <v>72</v>
      </c>
      <c r="I22" s="12"/>
      <c r="J22" s="11"/>
      <c r="K22" s="2" t="s">
        <v>72</v>
      </c>
      <c r="L22" s="12"/>
      <c r="M22" s="11"/>
      <c r="N22" s="2" t="s">
        <v>72</v>
      </c>
      <c r="O22" s="12"/>
    </row>
    <row r="23" spans="2:15" ht="15" customHeight="1">
      <c r="B23" s="11">
        <v>5</v>
      </c>
      <c r="C23" s="66" t="s">
        <v>56</v>
      </c>
      <c r="D23" s="11"/>
      <c r="E23" s="2" t="s">
        <v>67</v>
      </c>
      <c r="F23" s="12"/>
      <c r="G23" s="11"/>
      <c r="H23" s="2" t="s">
        <v>72</v>
      </c>
      <c r="I23" s="12"/>
      <c r="J23" s="11"/>
      <c r="K23" s="2" t="s">
        <v>72</v>
      </c>
      <c r="L23" s="12"/>
      <c r="M23" s="11"/>
      <c r="N23" s="2" t="s">
        <v>72</v>
      </c>
      <c r="O23" s="12"/>
    </row>
    <row r="24" spans="2:15" ht="15" customHeight="1">
      <c r="B24" s="11">
        <v>6</v>
      </c>
      <c r="C24" s="66" t="s">
        <v>57</v>
      </c>
      <c r="D24" s="11" t="s">
        <v>67</v>
      </c>
      <c r="E24" s="2"/>
      <c r="F24" s="12"/>
      <c r="G24" s="11"/>
      <c r="H24" s="2" t="s">
        <v>72</v>
      </c>
      <c r="I24" s="12"/>
      <c r="J24" s="11"/>
      <c r="K24" s="2" t="s">
        <v>72</v>
      </c>
      <c r="L24" s="12"/>
      <c r="M24" s="11"/>
      <c r="N24" s="2" t="s">
        <v>72</v>
      </c>
      <c r="O24" s="12"/>
    </row>
    <row r="25" spans="2:15" ht="15" customHeight="1">
      <c r="B25" s="11">
        <v>7</v>
      </c>
      <c r="C25" s="66" t="s">
        <v>44</v>
      </c>
      <c r="D25" s="11" t="s">
        <v>67</v>
      </c>
      <c r="E25" s="2"/>
      <c r="F25" s="12"/>
      <c r="G25" s="11" t="s">
        <v>72</v>
      </c>
      <c r="H25" s="2"/>
      <c r="I25" s="12"/>
      <c r="J25" s="11" t="s">
        <v>72</v>
      </c>
      <c r="K25" s="2"/>
      <c r="L25" s="12"/>
      <c r="M25" s="11" t="s">
        <v>72</v>
      </c>
      <c r="N25" s="2"/>
      <c r="O25" s="12"/>
    </row>
    <row r="26" spans="2:15" ht="15" customHeight="1">
      <c r="B26" s="11">
        <v>8</v>
      </c>
      <c r="C26" s="66" t="s">
        <v>45</v>
      </c>
      <c r="D26" s="11" t="s">
        <v>67</v>
      </c>
      <c r="E26" s="2"/>
      <c r="F26" s="12"/>
      <c r="G26" s="11" t="s">
        <v>72</v>
      </c>
      <c r="H26" s="2"/>
      <c r="I26" s="12"/>
      <c r="J26" s="11" t="s">
        <v>72</v>
      </c>
      <c r="K26" s="2"/>
      <c r="L26" s="12"/>
      <c r="M26" s="11" t="s">
        <v>72</v>
      </c>
      <c r="N26" s="2"/>
      <c r="O26" s="12"/>
    </row>
    <row r="27" spans="2:15">
      <c r="B27" s="11">
        <v>9</v>
      </c>
      <c r="C27" s="66" t="s">
        <v>41</v>
      </c>
      <c r="D27" s="11"/>
      <c r="E27" s="2"/>
      <c r="F27" s="12" t="s">
        <v>67</v>
      </c>
      <c r="G27" s="11" t="s">
        <v>72</v>
      </c>
      <c r="H27" s="2"/>
      <c r="I27" s="12"/>
      <c r="J27" s="11" t="s">
        <v>72</v>
      </c>
      <c r="K27" s="2"/>
      <c r="L27" s="12"/>
      <c r="M27" s="11" t="s">
        <v>72</v>
      </c>
      <c r="N27" s="2"/>
      <c r="O27" s="12"/>
    </row>
    <row r="28" spans="2:15" ht="15" customHeight="1">
      <c r="B28" s="11">
        <v>10</v>
      </c>
      <c r="C28" s="66" t="s">
        <v>58</v>
      </c>
      <c r="D28" s="11"/>
      <c r="E28" s="2" t="s">
        <v>67</v>
      </c>
      <c r="F28" s="12"/>
      <c r="G28" s="11"/>
      <c r="H28" s="2" t="s">
        <v>72</v>
      </c>
      <c r="I28" s="12"/>
      <c r="J28" s="11"/>
      <c r="K28" s="2" t="s">
        <v>72</v>
      </c>
      <c r="L28" s="12"/>
      <c r="M28" s="11"/>
      <c r="N28" s="2" t="s">
        <v>72</v>
      </c>
      <c r="O28" s="12"/>
    </row>
    <row r="29" spans="2:15">
      <c r="B29" s="11">
        <v>11</v>
      </c>
      <c r="C29" s="66" t="s">
        <v>42</v>
      </c>
      <c r="D29" s="11"/>
      <c r="E29" s="2"/>
      <c r="F29" s="12" t="s">
        <v>67</v>
      </c>
      <c r="G29" s="11" t="s">
        <v>72</v>
      </c>
      <c r="H29" s="2"/>
      <c r="I29" s="12"/>
      <c r="J29" s="11" t="s">
        <v>72</v>
      </c>
      <c r="K29" s="2"/>
      <c r="L29" s="12"/>
      <c r="M29" s="11" t="s">
        <v>72</v>
      </c>
      <c r="N29" s="2"/>
      <c r="O29" s="12"/>
    </row>
    <row r="30" spans="2:15" ht="15" thickBot="1">
      <c r="B30" s="11">
        <v>12</v>
      </c>
      <c r="C30" s="66" t="s">
        <v>51</v>
      </c>
      <c r="D30" s="22"/>
      <c r="E30" s="23" t="s">
        <v>67</v>
      </c>
      <c r="F30" s="24"/>
      <c r="G30" s="22"/>
      <c r="H30" s="23" t="s">
        <v>72</v>
      </c>
      <c r="I30" s="24"/>
      <c r="J30" s="22"/>
      <c r="K30" s="23" t="s">
        <v>72</v>
      </c>
      <c r="L30" s="24"/>
      <c r="M30" s="22"/>
      <c r="N30" s="23" t="s">
        <v>72</v>
      </c>
      <c r="O30" s="24"/>
    </row>
    <row r="31" spans="2:15" ht="15.75" customHeight="1" thickBot="1">
      <c r="B31" s="142" t="s">
        <v>14</v>
      </c>
      <c r="C31" s="143"/>
      <c r="D31" s="137">
        <f>(COUNTIF(D19:D30, "X"))/((COUNTA($C$19:$C$30))-(COUNTA(F19:F30)))</f>
        <v>0.3</v>
      </c>
      <c r="E31" s="138"/>
      <c r="F31" s="139"/>
      <c r="G31" s="137">
        <f>(COUNTIF(G19:G30, "X"))/((COUNTA($C$19:$C$30))-(COUNTA(I19:I30)))</f>
        <v>0.33333333333333331</v>
      </c>
      <c r="H31" s="138"/>
      <c r="I31" s="139"/>
      <c r="J31" s="137">
        <f>(COUNTIF(J19:J30, "X"))/((COUNTA($C$19:$C$30))-(COUNTA(L19:L30)))</f>
        <v>0.33333333333333331</v>
      </c>
      <c r="K31" s="138"/>
      <c r="L31" s="139"/>
      <c r="M31" s="137">
        <f>(COUNTIF(M19:M30, "X"))/((COUNTA($C$19:$C$30))-(COUNTA(O19:O30)))</f>
        <v>0.33333333333333331</v>
      </c>
      <c r="N31" s="138"/>
      <c r="O31" s="139"/>
    </row>
    <row r="32" spans="2:15" ht="21.6" customHeight="1">
      <c r="B32" s="147" t="s">
        <v>18</v>
      </c>
      <c r="C32" s="148"/>
      <c r="D32" s="25"/>
      <c r="E32" s="28"/>
      <c r="F32" s="27"/>
      <c r="G32" s="25"/>
      <c r="H32" s="28"/>
      <c r="I32" s="27"/>
      <c r="J32" s="25"/>
      <c r="K32" s="28"/>
      <c r="L32" s="27"/>
      <c r="M32" s="25"/>
      <c r="N32" s="28"/>
      <c r="O32" s="27"/>
    </row>
    <row r="33" spans="2:15" ht="28.2" customHeight="1">
      <c r="B33" s="11">
        <v>1</v>
      </c>
      <c r="C33" s="20" t="s">
        <v>73</v>
      </c>
      <c r="D33" s="11"/>
      <c r="E33" s="2"/>
      <c r="F33" s="12" t="s">
        <v>67</v>
      </c>
      <c r="G33" s="11" t="s">
        <v>72</v>
      </c>
      <c r="H33" s="2"/>
      <c r="I33" s="12"/>
      <c r="J33" s="11" t="s">
        <v>72</v>
      </c>
      <c r="K33" s="2"/>
      <c r="L33" s="12"/>
      <c r="M33" s="11" t="s">
        <v>72</v>
      </c>
      <c r="N33" s="2"/>
      <c r="O33" s="12"/>
    </row>
    <row r="34" spans="2:15" ht="28.8">
      <c r="B34" s="11">
        <v>2</v>
      </c>
      <c r="C34" s="20" t="s">
        <v>74</v>
      </c>
      <c r="D34" s="11"/>
      <c r="E34" s="2"/>
      <c r="F34" s="12"/>
      <c r="G34" s="11"/>
      <c r="H34" s="2" t="s">
        <v>72</v>
      </c>
      <c r="I34" s="12"/>
      <c r="J34" s="11"/>
      <c r="K34" s="2" t="s">
        <v>72</v>
      </c>
      <c r="L34" s="12"/>
      <c r="M34" s="11"/>
      <c r="N34" s="2" t="s">
        <v>72</v>
      </c>
      <c r="O34" s="12"/>
    </row>
    <row r="35" spans="2:15" ht="28.8">
      <c r="B35" s="11">
        <v>3</v>
      </c>
      <c r="C35" s="20" t="s">
        <v>63</v>
      </c>
      <c r="D35" s="11"/>
      <c r="E35" s="2" t="s">
        <v>67</v>
      </c>
      <c r="F35" s="12"/>
      <c r="G35" s="11"/>
      <c r="H35" s="2"/>
      <c r="I35" s="12" t="s">
        <v>72</v>
      </c>
      <c r="J35" s="11"/>
      <c r="K35" s="2"/>
      <c r="L35" s="12" t="s">
        <v>72</v>
      </c>
      <c r="M35" s="11" t="s">
        <v>72</v>
      </c>
      <c r="N35" s="2"/>
      <c r="O35" s="12"/>
    </row>
    <row r="36" spans="2:15" ht="27.6" customHeight="1">
      <c r="B36" s="11">
        <v>4</v>
      </c>
      <c r="C36" s="20" t="s">
        <v>76</v>
      </c>
      <c r="D36" s="11" t="s">
        <v>67</v>
      </c>
      <c r="E36" s="2"/>
      <c r="F36" s="12"/>
      <c r="G36" s="11"/>
      <c r="H36" s="2" t="s">
        <v>72</v>
      </c>
      <c r="I36" s="12"/>
      <c r="J36" s="11" t="s">
        <v>72</v>
      </c>
      <c r="K36" s="2"/>
      <c r="L36" s="12"/>
      <c r="M36" s="11"/>
      <c r="N36" s="2" t="s">
        <v>67</v>
      </c>
      <c r="O36" s="12"/>
    </row>
    <row r="37" spans="2:15" ht="15" customHeight="1">
      <c r="B37" s="11">
        <v>5</v>
      </c>
      <c r="C37" s="20" t="s">
        <v>21</v>
      </c>
      <c r="D37" s="11"/>
      <c r="E37" s="2"/>
      <c r="F37" s="12" t="s">
        <v>67</v>
      </c>
      <c r="G37" s="11" t="s">
        <v>72</v>
      </c>
      <c r="H37" s="2"/>
      <c r="I37" s="12"/>
      <c r="J37" s="11"/>
      <c r="K37" s="2"/>
      <c r="L37" s="12" t="s">
        <v>72</v>
      </c>
      <c r="M37" s="11"/>
      <c r="N37" s="2"/>
      <c r="O37" s="12" t="s">
        <v>72</v>
      </c>
    </row>
    <row r="38" spans="2:15" ht="20.399999999999999" customHeight="1" thickBot="1">
      <c r="B38" s="11">
        <v>6</v>
      </c>
      <c r="C38" s="20" t="s">
        <v>22</v>
      </c>
      <c r="D38" s="22"/>
      <c r="E38" s="23"/>
      <c r="F38" s="24" t="s">
        <v>67</v>
      </c>
      <c r="G38" s="22"/>
      <c r="H38" s="23"/>
      <c r="I38" s="24" t="s">
        <v>72</v>
      </c>
      <c r="J38" s="22"/>
      <c r="K38" s="23"/>
      <c r="L38" s="24" t="s">
        <v>72</v>
      </c>
      <c r="M38" s="22"/>
      <c r="N38" s="23"/>
      <c r="O38" s="24" t="s">
        <v>72</v>
      </c>
    </row>
    <row r="39" spans="2:15" ht="15" customHeight="1" thickBot="1">
      <c r="B39" s="142" t="s">
        <v>14</v>
      </c>
      <c r="C39" s="143"/>
      <c r="D39" s="137">
        <f>(COUNTIF(D33:D38, "X"))/((COUNTA($C$33:$C$38))-(COUNTA(F33:F38)))</f>
        <v>0.33333333333333331</v>
      </c>
      <c r="E39" s="138"/>
      <c r="F39" s="139"/>
      <c r="G39" s="137">
        <f>(COUNTIF(G33:G38, "X"))/((COUNTA($C$33:$C$38))-(COUNTA(I33:I38)))</f>
        <v>0.5</v>
      </c>
      <c r="H39" s="138"/>
      <c r="I39" s="139"/>
      <c r="J39" s="137">
        <f>(COUNTIF(J33:J38, "X"))/((COUNTA($C$33:$C$38))-(COUNTA(L33:L38)))</f>
        <v>0.66666666666666663</v>
      </c>
      <c r="K39" s="138"/>
      <c r="L39" s="139"/>
      <c r="M39" s="137">
        <f>(COUNTIF(M33:M38, "X"))/((COUNTA($C$33:$C$38))-(COUNTA(O33:O38)))</f>
        <v>0.5</v>
      </c>
      <c r="N39" s="138"/>
      <c r="O39" s="139"/>
    </row>
    <row r="40" spans="2:15" ht="15" customHeight="1">
      <c r="B40" s="147" t="s">
        <v>23</v>
      </c>
      <c r="C40" s="148"/>
      <c r="D40" s="25"/>
      <c r="E40" s="28"/>
      <c r="F40" s="27"/>
      <c r="G40" s="25"/>
      <c r="H40" s="28"/>
      <c r="I40" s="27"/>
      <c r="J40" s="25"/>
      <c r="K40" s="28"/>
      <c r="L40" s="27"/>
      <c r="M40" s="25"/>
      <c r="N40" s="28"/>
      <c r="O40" s="27"/>
    </row>
    <row r="41" spans="2:15" ht="16.8" customHeight="1">
      <c r="B41" s="11">
        <v>1</v>
      </c>
      <c r="C41" s="20" t="s">
        <v>24</v>
      </c>
      <c r="D41" s="11"/>
      <c r="E41" s="2" t="s">
        <v>67</v>
      </c>
      <c r="F41" s="12"/>
      <c r="G41" s="11" t="s">
        <v>72</v>
      </c>
      <c r="H41" s="2"/>
      <c r="I41" s="12"/>
      <c r="J41" s="11"/>
      <c r="K41" s="2" t="s">
        <v>72</v>
      </c>
      <c r="L41" s="12"/>
      <c r="M41" s="11" t="s">
        <v>72</v>
      </c>
      <c r="N41" s="2"/>
      <c r="O41" s="12"/>
    </row>
    <row r="42" spans="2:15" ht="28.8" customHeight="1">
      <c r="B42" s="11">
        <v>2</v>
      </c>
      <c r="C42" s="20" t="s">
        <v>25</v>
      </c>
      <c r="D42" s="11"/>
      <c r="E42" s="2" t="s">
        <v>67</v>
      </c>
      <c r="F42" s="12"/>
      <c r="G42" s="11" t="s">
        <v>72</v>
      </c>
      <c r="H42" s="2"/>
      <c r="I42" s="12"/>
      <c r="J42" s="11" t="s">
        <v>72</v>
      </c>
      <c r="K42" s="2"/>
      <c r="L42" s="12"/>
      <c r="M42" s="11"/>
      <c r="N42" s="2" t="s">
        <v>72</v>
      </c>
      <c r="O42" s="12"/>
    </row>
    <row r="43" spans="2:15" ht="19.8" customHeight="1">
      <c r="B43" s="11">
        <v>3</v>
      </c>
      <c r="C43" s="20" t="s">
        <v>26</v>
      </c>
      <c r="D43" s="11"/>
      <c r="E43" s="2" t="s">
        <v>67</v>
      </c>
      <c r="F43" s="12"/>
      <c r="G43" s="11"/>
      <c r="H43" s="2" t="s">
        <v>72</v>
      </c>
      <c r="I43" s="12"/>
      <c r="J43" s="11"/>
      <c r="K43" s="2" t="s">
        <v>72</v>
      </c>
      <c r="L43" s="12"/>
      <c r="M43" s="11"/>
      <c r="N43" s="2" t="s">
        <v>72</v>
      </c>
      <c r="O43" s="12"/>
    </row>
    <row r="44" spans="2:15">
      <c r="B44" s="11">
        <v>4</v>
      </c>
      <c r="C44" s="21" t="s">
        <v>27</v>
      </c>
      <c r="D44" s="11"/>
      <c r="E44" s="2" t="s">
        <v>67</v>
      </c>
      <c r="F44" s="12"/>
      <c r="G44" s="11"/>
      <c r="H44" s="2" t="s">
        <v>72</v>
      </c>
      <c r="I44" s="12"/>
      <c r="J44" s="11"/>
      <c r="K44" s="2" t="s">
        <v>72</v>
      </c>
      <c r="L44" s="12"/>
      <c r="M44" s="11"/>
      <c r="N44" s="2" t="s">
        <v>72</v>
      </c>
      <c r="O44" s="12"/>
    </row>
    <row r="45" spans="2:15" ht="15" customHeight="1">
      <c r="B45" s="142" t="s">
        <v>14</v>
      </c>
      <c r="C45" s="143"/>
      <c r="D45" s="144">
        <f>(COUNTIF(D41:D44, "X"))/((COUNTA($C$41:$C$44))-(COUNTA(F41:F44)))</f>
        <v>0</v>
      </c>
      <c r="E45" s="145"/>
      <c r="F45" s="146"/>
      <c r="G45" s="144">
        <f>(COUNTIF(G41:G44, "X"))/((COUNTA($C$41:$C$44))-(COUNTA(I41:I44)))</f>
        <v>0.5</v>
      </c>
      <c r="H45" s="145"/>
      <c r="I45" s="146"/>
      <c r="J45" s="144">
        <f>(COUNTIF(J41:J44, "X"))/((COUNTA($C$41:$C$44))-(COUNTA(L41:L44)))</f>
        <v>0.25</v>
      </c>
      <c r="K45" s="145"/>
      <c r="L45" s="146"/>
      <c r="M45" s="144">
        <f>(COUNTIF(M41:M44, "X"))/((COUNTA($C$41:$C$44))-(COUNTA(O41:O44)))</f>
        <v>0.25</v>
      </c>
      <c r="N45" s="145"/>
      <c r="O45" s="146"/>
    </row>
    <row r="46" spans="2:15" ht="15" customHeight="1">
      <c r="B46" s="147" t="s">
        <v>28</v>
      </c>
      <c r="C46" s="148"/>
      <c r="D46" s="16"/>
      <c r="E46" s="5"/>
      <c r="F46" s="17"/>
      <c r="G46" s="16"/>
      <c r="H46" s="5"/>
      <c r="I46" s="17"/>
      <c r="J46" s="16"/>
      <c r="K46" s="5"/>
      <c r="L46" s="17"/>
      <c r="M46" s="16"/>
      <c r="N46" s="5"/>
      <c r="O46" s="17"/>
    </row>
    <row r="47" spans="2:15" ht="15" customHeight="1">
      <c r="B47" s="11">
        <v>1</v>
      </c>
      <c r="C47" s="67" t="s">
        <v>29</v>
      </c>
      <c r="D47" s="11"/>
      <c r="E47" s="2" t="s">
        <v>67</v>
      </c>
      <c r="F47" s="12"/>
      <c r="G47" s="11"/>
      <c r="H47" s="2" t="s">
        <v>72</v>
      </c>
      <c r="I47" s="12"/>
      <c r="J47" s="11"/>
      <c r="K47" s="2" t="s">
        <v>72</v>
      </c>
      <c r="L47" s="12"/>
      <c r="M47" s="11"/>
      <c r="N47" s="2" t="s">
        <v>72</v>
      </c>
      <c r="O47" s="12"/>
    </row>
    <row r="48" spans="2:15" ht="15" customHeight="1">
      <c r="B48" s="11">
        <v>2</v>
      </c>
      <c r="C48" s="20" t="s">
        <v>30</v>
      </c>
      <c r="D48" s="11"/>
      <c r="E48" s="2" t="s">
        <v>67</v>
      </c>
      <c r="F48" s="12"/>
      <c r="G48" s="11"/>
      <c r="H48" s="2" t="s">
        <v>72</v>
      </c>
      <c r="I48" s="12"/>
      <c r="J48" s="11"/>
      <c r="K48" s="2" t="s">
        <v>72</v>
      </c>
      <c r="L48" s="12"/>
      <c r="M48" s="11"/>
      <c r="N48" s="2" t="s">
        <v>72</v>
      </c>
      <c r="O48" s="12"/>
    </row>
    <row r="49" spans="2:15" ht="15" customHeight="1">
      <c r="B49" s="11">
        <v>3</v>
      </c>
      <c r="C49" s="20" t="s">
        <v>31</v>
      </c>
      <c r="D49" s="11" t="s">
        <v>67</v>
      </c>
      <c r="E49" s="2"/>
      <c r="F49" s="12"/>
      <c r="G49" s="11" t="s">
        <v>72</v>
      </c>
      <c r="H49" s="2"/>
      <c r="I49" s="12"/>
      <c r="J49" s="11" t="s">
        <v>72</v>
      </c>
      <c r="K49" s="2"/>
      <c r="L49" s="12"/>
      <c r="M49" s="11" t="s">
        <v>72</v>
      </c>
      <c r="N49" s="2"/>
      <c r="O49" s="12"/>
    </row>
    <row r="50" spans="2:15" ht="24" customHeight="1" thickBot="1">
      <c r="B50" s="11">
        <v>4</v>
      </c>
      <c r="C50" s="67" t="s">
        <v>32</v>
      </c>
      <c r="D50" s="22"/>
      <c r="E50" s="23" t="s">
        <v>67</v>
      </c>
      <c r="F50" s="24"/>
      <c r="G50" s="22"/>
      <c r="H50" s="23" t="s">
        <v>72</v>
      </c>
      <c r="I50" s="24"/>
      <c r="J50" s="22"/>
      <c r="K50" s="23" t="s">
        <v>72</v>
      </c>
      <c r="L50" s="24"/>
      <c r="M50" s="22"/>
      <c r="N50" s="23"/>
      <c r="O50" s="24"/>
    </row>
    <row r="51" spans="2:15" ht="15" customHeight="1">
      <c r="B51" s="142" t="s">
        <v>14</v>
      </c>
      <c r="C51" s="143"/>
      <c r="D51" s="149">
        <f>(COUNTIF(D47:D50, "X"))/((COUNTA($C$47:$C$50))-(COUNTA(F47:F50)))</f>
        <v>0.25</v>
      </c>
      <c r="E51" s="150"/>
      <c r="F51" s="151"/>
      <c r="G51" s="149">
        <f>(COUNTIF(G47:G50, "X"))/((COUNTA($C$47:$C$50))-(COUNTA(I47:I50)))</f>
        <v>0.25</v>
      </c>
      <c r="H51" s="150"/>
      <c r="I51" s="151"/>
      <c r="J51" s="149">
        <f>(COUNTIF(J47:J50, "X"))/((COUNTA($C$47:$C$50))-(COUNTA(L47:L50)))</f>
        <v>0.25</v>
      </c>
      <c r="K51" s="150"/>
      <c r="L51" s="151"/>
      <c r="M51" s="149">
        <f>(COUNTIF(M47:M50, "X"))/((COUNTA($C$47:$C$50))-(COUNTA(O47:O50)))</f>
        <v>0.25</v>
      </c>
      <c r="N51" s="150"/>
      <c r="O51" s="151"/>
    </row>
    <row r="52" spans="2:15" ht="15.75" customHeight="1" thickBot="1">
      <c r="B52" s="147" t="s">
        <v>33</v>
      </c>
      <c r="C52" s="148"/>
      <c r="D52" s="32"/>
      <c r="E52" s="33"/>
      <c r="F52" s="34"/>
      <c r="G52" s="32"/>
      <c r="H52" s="33"/>
      <c r="I52" s="34"/>
      <c r="J52" s="32"/>
      <c r="K52" s="33"/>
      <c r="L52" s="34"/>
      <c r="M52" s="32"/>
      <c r="N52" s="33"/>
      <c r="O52" s="34"/>
    </row>
    <row r="53" spans="2:15" ht="30.15" customHeight="1">
      <c r="B53" s="11">
        <v>1</v>
      </c>
      <c r="C53" s="20" t="s">
        <v>60</v>
      </c>
      <c r="D53" s="29"/>
      <c r="E53" s="30" t="s">
        <v>67</v>
      </c>
      <c r="F53" s="31"/>
      <c r="G53" s="29"/>
      <c r="H53" s="30" t="s">
        <v>67</v>
      </c>
      <c r="I53" s="31"/>
      <c r="J53" s="29"/>
      <c r="K53" s="30" t="s">
        <v>72</v>
      </c>
      <c r="L53" s="31"/>
      <c r="M53" s="29"/>
      <c r="N53" s="30" t="s">
        <v>72</v>
      </c>
      <c r="O53" s="31"/>
    </row>
    <row r="54" spans="2:15" ht="30.15" customHeight="1">
      <c r="B54" s="11">
        <v>2</v>
      </c>
      <c r="C54" s="20" t="s">
        <v>61</v>
      </c>
      <c r="D54" s="11"/>
      <c r="E54" s="2" t="s">
        <v>67</v>
      </c>
      <c r="F54" s="12"/>
      <c r="G54" s="11" t="s">
        <v>72</v>
      </c>
      <c r="H54" s="2"/>
      <c r="I54" s="12"/>
      <c r="J54" s="11" t="s">
        <v>72</v>
      </c>
      <c r="K54" s="2"/>
      <c r="L54" s="12"/>
      <c r="M54" s="11"/>
      <c r="N54" s="2" t="s">
        <v>72</v>
      </c>
      <c r="O54" s="12"/>
    </row>
    <row r="55" spans="2:15" ht="24" customHeight="1">
      <c r="B55" s="11">
        <v>3</v>
      </c>
      <c r="C55" s="20" t="s">
        <v>59</v>
      </c>
      <c r="D55" s="11" t="s">
        <v>67</v>
      </c>
      <c r="E55" s="2"/>
      <c r="F55" s="12"/>
      <c r="G55" s="11" t="s">
        <v>67</v>
      </c>
      <c r="H55" s="2"/>
      <c r="I55" s="12"/>
      <c r="J55" s="11" t="s">
        <v>72</v>
      </c>
      <c r="K55" s="2"/>
      <c r="L55" s="12"/>
      <c r="M55" s="11" t="s">
        <v>72</v>
      </c>
      <c r="N55" s="2"/>
      <c r="O55" s="12"/>
    </row>
    <row r="56" spans="2:15" ht="15" thickBot="1">
      <c r="B56" s="11">
        <v>4</v>
      </c>
      <c r="C56" s="20" t="s">
        <v>66</v>
      </c>
      <c r="D56" s="22" t="s">
        <v>47</v>
      </c>
      <c r="E56" s="23" t="s">
        <v>67</v>
      </c>
      <c r="F56" s="24"/>
      <c r="G56" s="22"/>
      <c r="H56" s="23" t="s">
        <v>72</v>
      </c>
      <c r="I56" s="24"/>
      <c r="J56" s="22" t="s">
        <v>72</v>
      </c>
      <c r="K56" s="23"/>
      <c r="L56" s="24"/>
      <c r="M56" s="22" t="s">
        <v>72</v>
      </c>
      <c r="N56" s="23"/>
      <c r="O56" s="24"/>
    </row>
    <row r="57" spans="2:15" ht="15" customHeight="1" thickBot="1">
      <c r="B57" s="152" t="s">
        <v>14</v>
      </c>
      <c r="C57" s="153"/>
      <c r="D57" s="137">
        <f>(COUNTIF(D53:D56, "X"))/((COUNTA($C$53:$C$56))-(COUNTA(F53:F56)))</f>
        <v>0.25</v>
      </c>
      <c r="E57" s="138"/>
      <c r="F57" s="139"/>
      <c r="G57" s="137">
        <f>(COUNTIF(G53:G56, "X"))/((COUNTA($C$53:$C$56))-(COUNTA(I53:I56)))</f>
        <v>0.5</v>
      </c>
      <c r="H57" s="138"/>
      <c r="I57" s="139"/>
      <c r="J57" s="137">
        <f>(COUNTIF(J53:J56, "X"))/((COUNTA($C$53:$C$56))-(COUNTA(L53:L56)))</f>
        <v>0.75</v>
      </c>
      <c r="K57" s="138"/>
      <c r="L57" s="139"/>
      <c r="M57" s="137">
        <f>(COUNTIF(M53:M56, "X"))/((COUNTA($C$53:$C$56))-(COUNTA(O53:O56)))</f>
        <v>0.5</v>
      </c>
      <c r="N57" s="138"/>
      <c r="O57" s="139"/>
    </row>
    <row r="59" spans="2:15" ht="3.6" customHeight="1"/>
    <row r="60" spans="2:15">
      <c r="C60" s="7" t="s">
        <v>34</v>
      </c>
      <c r="D60" s="154">
        <v>19</v>
      </c>
      <c r="E60" s="154"/>
      <c r="F60" s="154"/>
      <c r="G60" s="154">
        <v>29</v>
      </c>
      <c r="H60" s="154"/>
      <c r="I60" s="154"/>
      <c r="J60" s="154">
        <v>30</v>
      </c>
      <c r="K60" s="154"/>
      <c r="L60" s="154"/>
      <c r="M60" s="154">
        <v>34</v>
      </c>
      <c r="N60" s="154"/>
      <c r="O60" s="154"/>
    </row>
    <row r="61" spans="2:15" ht="15" customHeight="1">
      <c r="C61" s="68" t="str">
        <f>B6</f>
        <v>1. Condiciones de seguridad</v>
      </c>
      <c r="D61" s="155">
        <f>D17</f>
        <v>0.5</v>
      </c>
      <c r="E61" s="156"/>
      <c r="F61" s="157"/>
      <c r="G61" s="155">
        <f>G17</f>
        <v>0.4</v>
      </c>
      <c r="H61" s="156"/>
      <c r="I61" s="157"/>
      <c r="J61" s="155">
        <f>J17</f>
        <v>0.4</v>
      </c>
      <c r="K61" s="156"/>
      <c r="L61" s="157"/>
      <c r="M61" s="155">
        <f>M17</f>
        <v>0.5</v>
      </c>
      <c r="N61" s="156"/>
      <c r="O61" s="157"/>
    </row>
    <row r="62" spans="2:15" ht="15" customHeight="1">
      <c r="C62" s="68" t="str">
        <f>B18</f>
        <v>2. Orden y limpieza</v>
      </c>
      <c r="D62" s="155">
        <f>D31</f>
        <v>0.3</v>
      </c>
      <c r="E62" s="156"/>
      <c r="F62" s="157"/>
      <c r="G62" s="155">
        <f>G31</f>
        <v>0.33333333333333331</v>
      </c>
      <c r="H62" s="156"/>
      <c r="I62" s="157"/>
      <c r="J62" s="155">
        <f>J31</f>
        <v>0.33333333333333331</v>
      </c>
      <c r="K62" s="156"/>
      <c r="L62" s="157"/>
      <c r="M62" s="155">
        <f>M31</f>
        <v>0.33333333333333331</v>
      </c>
      <c r="N62" s="156"/>
      <c r="O62" s="157"/>
    </row>
    <row r="63" spans="2:15" ht="15" customHeight="1">
      <c r="C63" s="68" t="str">
        <f>B32</f>
        <v>3. Equipo de protección personal</v>
      </c>
      <c r="D63" s="155">
        <f>D39</f>
        <v>0.33333333333333331</v>
      </c>
      <c r="E63" s="156"/>
      <c r="F63" s="157"/>
      <c r="G63" s="155">
        <f>G39</f>
        <v>0.5</v>
      </c>
      <c r="H63" s="156"/>
      <c r="I63" s="157"/>
      <c r="J63" s="155">
        <f>J39</f>
        <v>0.66666666666666663</v>
      </c>
      <c r="K63" s="156"/>
      <c r="L63" s="157"/>
      <c r="M63" s="155">
        <f>M39</f>
        <v>0.5</v>
      </c>
      <c r="N63" s="156"/>
      <c r="O63" s="157"/>
    </row>
    <row r="64" spans="2:15" ht="15" customHeight="1">
      <c r="C64" s="68" t="str">
        <f>B40</f>
        <v>4. Maquinaria / Equipos de trabajo</v>
      </c>
      <c r="D64" s="155">
        <f>D45</f>
        <v>0</v>
      </c>
      <c r="E64" s="156"/>
      <c r="F64" s="157"/>
      <c r="G64" s="155">
        <f>G45</f>
        <v>0.5</v>
      </c>
      <c r="H64" s="156"/>
      <c r="I64" s="157"/>
      <c r="J64" s="155">
        <f>J45</f>
        <v>0.25</v>
      </c>
      <c r="K64" s="156"/>
      <c r="L64" s="157"/>
      <c r="M64" s="155">
        <f>M45</f>
        <v>0.25</v>
      </c>
      <c r="N64" s="156"/>
      <c r="O64" s="157"/>
    </row>
    <row r="65" spans="3:15" ht="15" customHeight="1">
      <c r="C65" s="68" t="str">
        <f>B46</f>
        <v>5. Inspecciones eléctricas</v>
      </c>
      <c r="D65" s="155">
        <f>D51</f>
        <v>0.25</v>
      </c>
      <c r="E65" s="156"/>
      <c r="F65" s="157"/>
      <c r="G65" s="155">
        <f>G51</f>
        <v>0.25</v>
      </c>
      <c r="H65" s="156"/>
      <c r="I65" s="157"/>
      <c r="J65" s="155">
        <f>J51</f>
        <v>0.25</v>
      </c>
      <c r="K65" s="156"/>
      <c r="L65" s="157"/>
      <c r="M65" s="155">
        <f>M51</f>
        <v>0.25</v>
      </c>
      <c r="N65" s="156"/>
      <c r="O65" s="157"/>
    </row>
    <row r="66" spans="3:15" ht="15" customHeight="1">
      <c r="C66" s="68" t="str">
        <f>B52</f>
        <v>6. Actos de comportamiento</v>
      </c>
      <c r="D66" s="155">
        <f>D57</f>
        <v>0.25</v>
      </c>
      <c r="E66" s="156"/>
      <c r="F66" s="157"/>
      <c r="G66" s="155">
        <f>G57</f>
        <v>0.5</v>
      </c>
      <c r="H66" s="156"/>
      <c r="I66" s="157"/>
      <c r="J66" s="155">
        <f>J57</f>
        <v>0.75</v>
      </c>
      <c r="K66" s="156"/>
      <c r="L66" s="157"/>
      <c r="M66" s="155">
        <f>M57</f>
        <v>0.5</v>
      </c>
      <c r="N66" s="156"/>
      <c r="O66" s="157"/>
    </row>
    <row r="67" spans="3:15" ht="15" customHeight="1">
      <c r="C67" s="70" t="s">
        <v>35</v>
      </c>
      <c r="D67" s="155">
        <f>AVERAGE(D61:E66)</f>
        <v>0.2722222222222222</v>
      </c>
      <c r="E67" s="156"/>
      <c r="F67" s="157"/>
      <c r="G67" s="155">
        <f t="shared" ref="G67" si="0">AVERAGE(G61:H66)</f>
        <v>0.41388888888888892</v>
      </c>
      <c r="H67" s="156"/>
      <c r="I67" s="157"/>
      <c r="J67" s="155">
        <f t="shared" ref="J67" si="1">AVERAGE(J61:K66)</f>
        <v>0.44166666666666665</v>
      </c>
      <c r="K67" s="156"/>
      <c r="L67" s="157"/>
      <c r="M67" s="155">
        <f t="shared" ref="M67" si="2">AVERAGE(M61:N66)</f>
        <v>0.38888888888888884</v>
      </c>
      <c r="N67" s="156"/>
      <c r="O67" s="157"/>
    </row>
    <row r="70" spans="3:15">
      <c r="C70" s="7" t="s">
        <v>34</v>
      </c>
      <c r="D70" s="7">
        <f>+E3</f>
        <v>19</v>
      </c>
      <c r="E70" s="7">
        <f>+H3</f>
        <v>29</v>
      </c>
      <c r="F70" s="7">
        <f>+K3</f>
        <v>30</v>
      </c>
      <c r="G70" s="7">
        <f>+N3</f>
        <v>34</v>
      </c>
    </row>
    <row r="71" spans="3:15">
      <c r="C71" s="68" t="s">
        <v>5</v>
      </c>
      <c r="D71" s="69">
        <f>+D61</f>
        <v>0.5</v>
      </c>
      <c r="E71" s="69">
        <f>+G61</f>
        <v>0.4</v>
      </c>
      <c r="F71" s="69">
        <f>+J61</f>
        <v>0.4</v>
      </c>
      <c r="G71" s="69">
        <f>+M61</f>
        <v>0.5</v>
      </c>
    </row>
    <row r="72" spans="3:15">
      <c r="C72" s="68" t="s">
        <v>15</v>
      </c>
      <c r="D72" s="69">
        <f t="shared" ref="D72:D76" si="3">+D62</f>
        <v>0.3</v>
      </c>
      <c r="E72" s="69">
        <f t="shared" ref="E72:E76" si="4">+G62</f>
        <v>0.33333333333333331</v>
      </c>
      <c r="F72" s="69">
        <f t="shared" ref="F72:F76" si="5">+J62</f>
        <v>0.33333333333333331</v>
      </c>
      <c r="G72" s="69">
        <f t="shared" ref="G72:G76" si="6">+M62</f>
        <v>0.33333333333333331</v>
      </c>
    </row>
    <row r="73" spans="3:15">
      <c r="C73" s="68" t="s">
        <v>18</v>
      </c>
      <c r="D73" s="69">
        <f t="shared" si="3"/>
        <v>0.33333333333333331</v>
      </c>
      <c r="E73" s="69">
        <f t="shared" si="4"/>
        <v>0.5</v>
      </c>
      <c r="F73" s="69">
        <f t="shared" si="5"/>
        <v>0.66666666666666663</v>
      </c>
      <c r="G73" s="69">
        <f t="shared" si="6"/>
        <v>0.5</v>
      </c>
    </row>
    <row r="74" spans="3:15">
      <c r="C74" s="68" t="s">
        <v>23</v>
      </c>
      <c r="D74" s="69">
        <f t="shared" si="3"/>
        <v>0</v>
      </c>
      <c r="E74" s="69">
        <f t="shared" si="4"/>
        <v>0.5</v>
      </c>
      <c r="F74" s="69">
        <f t="shared" si="5"/>
        <v>0.25</v>
      </c>
      <c r="G74" s="69">
        <f t="shared" si="6"/>
        <v>0.25</v>
      </c>
    </row>
    <row r="75" spans="3:15">
      <c r="C75" s="68" t="s">
        <v>28</v>
      </c>
      <c r="D75" s="69">
        <f t="shared" si="3"/>
        <v>0.25</v>
      </c>
      <c r="E75" s="69">
        <f t="shared" si="4"/>
        <v>0.25</v>
      </c>
      <c r="F75" s="69">
        <f t="shared" si="5"/>
        <v>0.25</v>
      </c>
      <c r="G75" s="69">
        <f t="shared" si="6"/>
        <v>0.25</v>
      </c>
    </row>
    <row r="76" spans="3:15">
      <c r="C76" s="68" t="s">
        <v>33</v>
      </c>
      <c r="D76" s="69">
        <f t="shared" si="3"/>
        <v>0.25</v>
      </c>
      <c r="E76" s="69">
        <f t="shared" si="4"/>
        <v>0.5</v>
      </c>
      <c r="F76" s="69">
        <f t="shared" si="5"/>
        <v>0.75</v>
      </c>
      <c r="G76" s="69">
        <f t="shared" si="6"/>
        <v>0.5</v>
      </c>
    </row>
    <row r="77" spans="3:15">
      <c r="C77" s="70" t="s">
        <v>75</v>
      </c>
      <c r="D77" s="69">
        <f>AVERAGE(D71:D76)</f>
        <v>0.2722222222222222</v>
      </c>
      <c r="E77" s="69">
        <f>AVERAGE(E71:E76)</f>
        <v>0.41388888888888892</v>
      </c>
      <c r="F77" s="69">
        <f>AVERAGE(F71:F76)</f>
        <v>0.44166666666666665</v>
      </c>
      <c r="G77" s="69">
        <f>AVERAGE(G71:G76)</f>
        <v>0.38888888888888884</v>
      </c>
    </row>
  </sheetData>
  <mergeCells count="78">
    <mergeCell ref="D66:F66"/>
    <mergeCell ref="G66:I66"/>
    <mergeCell ref="J66:L66"/>
    <mergeCell ref="M66:O66"/>
    <mergeCell ref="D67:F67"/>
    <mergeCell ref="G67:I67"/>
    <mergeCell ref="J67:L67"/>
    <mergeCell ref="M67:O67"/>
    <mergeCell ref="D64:F64"/>
    <mergeCell ref="G64:I64"/>
    <mergeCell ref="J64:L64"/>
    <mergeCell ref="M64:O64"/>
    <mergeCell ref="D65:F65"/>
    <mergeCell ref="G65:I65"/>
    <mergeCell ref="J65:L65"/>
    <mergeCell ref="M65:O65"/>
    <mergeCell ref="D62:F62"/>
    <mergeCell ref="G62:I62"/>
    <mergeCell ref="J62:L62"/>
    <mergeCell ref="M62:O62"/>
    <mergeCell ref="D63:F63"/>
    <mergeCell ref="G63:I63"/>
    <mergeCell ref="J63:L63"/>
    <mergeCell ref="M63:O63"/>
    <mergeCell ref="D60:F60"/>
    <mergeCell ref="G60:I60"/>
    <mergeCell ref="J60:L60"/>
    <mergeCell ref="M60:O60"/>
    <mergeCell ref="D61:F61"/>
    <mergeCell ref="G61:I61"/>
    <mergeCell ref="J61:L61"/>
    <mergeCell ref="M61:O61"/>
    <mergeCell ref="M57:O57"/>
    <mergeCell ref="B46:C46"/>
    <mergeCell ref="B51:C51"/>
    <mergeCell ref="D51:F51"/>
    <mergeCell ref="G51:I51"/>
    <mergeCell ref="J51:L51"/>
    <mergeCell ref="M51:O51"/>
    <mergeCell ref="B52:C52"/>
    <mergeCell ref="B57:C57"/>
    <mergeCell ref="D57:F57"/>
    <mergeCell ref="G57:I57"/>
    <mergeCell ref="J57:L57"/>
    <mergeCell ref="M45:O45"/>
    <mergeCell ref="B32:C32"/>
    <mergeCell ref="B39:C39"/>
    <mergeCell ref="D39:F39"/>
    <mergeCell ref="G39:I39"/>
    <mergeCell ref="J39:L39"/>
    <mergeCell ref="M39:O39"/>
    <mergeCell ref="B40:C40"/>
    <mergeCell ref="B45:C45"/>
    <mergeCell ref="D45:F45"/>
    <mergeCell ref="G45:I45"/>
    <mergeCell ref="J45:L45"/>
    <mergeCell ref="M17:O17"/>
    <mergeCell ref="B18:C18"/>
    <mergeCell ref="B31:C31"/>
    <mergeCell ref="D31:F31"/>
    <mergeCell ref="G31:I31"/>
    <mergeCell ref="J31:L31"/>
    <mergeCell ref="M31:O31"/>
    <mergeCell ref="J17:L17"/>
    <mergeCell ref="B5:C5"/>
    <mergeCell ref="B6:C6"/>
    <mergeCell ref="B17:C17"/>
    <mergeCell ref="D17:F17"/>
    <mergeCell ref="G17:I17"/>
    <mergeCell ref="B3:C4"/>
    <mergeCell ref="E3:F3"/>
    <mergeCell ref="H3:I3"/>
    <mergeCell ref="K3:L3"/>
    <mergeCell ref="N3:O3"/>
    <mergeCell ref="E4:F4"/>
    <mergeCell ref="H4:I4"/>
    <mergeCell ref="K4:L4"/>
    <mergeCell ref="N4:O4"/>
  </mergeCells>
  <conditionalFormatting sqref="D67:O67">
    <cfRule type="cellIs" dxfId="2" priority="1" operator="between">
      <formula>70%</formula>
      <formula>85%</formula>
    </cfRule>
    <cfRule type="cellIs" dxfId="1" priority="2" operator="between">
      <formula>0.86</formula>
      <formula>1</formula>
    </cfRule>
    <cfRule type="cellIs" dxfId="0" priority="3" operator="between">
      <formula>0</formula>
      <formula>69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35D6-2573-4FA2-A03A-F3FD7A5F97A7}">
  <dimension ref="B2:X116"/>
  <sheetViews>
    <sheetView zoomScaleNormal="100" workbookViewId="0">
      <pane xSplit="3" ySplit="6" topLeftCell="D102" activePane="bottomRight" state="frozen"/>
      <selection pane="topRight" activeCell="D1" sqref="D1"/>
      <selection pane="bottomLeft" activeCell="A7" sqref="A7"/>
      <selection pane="bottomRight" activeCell="N18" sqref="N18"/>
    </sheetView>
  </sheetViews>
  <sheetFormatPr baseColWidth="10" defaultRowHeight="14.4"/>
  <cols>
    <col min="2" max="2" width="3.33203125" style="1" customWidth="1"/>
    <col min="3" max="3" width="58.44140625" bestFit="1" customWidth="1"/>
    <col min="4" max="4" width="11.109375" bestFit="1" customWidth="1"/>
    <col min="5" max="5" width="11.33203125" customWidth="1"/>
    <col min="6" max="6" width="15.44140625" customWidth="1"/>
    <col min="7" max="7" width="11.33203125" customWidth="1"/>
    <col min="8" max="8" width="10.77734375" customWidth="1"/>
    <col min="9" max="9" width="11" customWidth="1"/>
    <col min="10" max="10" width="10.77734375" bestFit="1" customWidth="1"/>
    <col min="11" max="11" width="8" bestFit="1" customWidth="1"/>
    <col min="12" max="12" width="8.6640625" customWidth="1"/>
    <col min="14" max="14" width="9.109375" customWidth="1"/>
    <col min="15" max="15" width="8.33203125" customWidth="1"/>
    <col min="16" max="21" width="8.6640625" customWidth="1"/>
  </cols>
  <sheetData>
    <row r="2" spans="2:24" ht="15" thickBot="1"/>
    <row r="3" spans="2:24">
      <c r="B3" s="117" t="s">
        <v>43</v>
      </c>
      <c r="C3" s="118"/>
      <c r="D3" s="64" t="s">
        <v>0</v>
      </c>
      <c r="E3" s="169">
        <v>45936</v>
      </c>
      <c r="F3" s="170"/>
      <c r="G3" s="64" t="s">
        <v>0</v>
      </c>
      <c r="H3" s="169">
        <v>45952</v>
      </c>
      <c r="I3" s="170"/>
      <c r="J3" s="64" t="s">
        <v>0</v>
      </c>
      <c r="K3" s="169">
        <f>H3+1</f>
        <v>45953</v>
      </c>
      <c r="L3" s="170"/>
      <c r="M3" s="64" t="s">
        <v>0</v>
      </c>
      <c r="N3" s="169">
        <f t="shared" ref="N3" si="0">K3+1</f>
        <v>45954</v>
      </c>
      <c r="O3" s="170"/>
      <c r="P3" s="64" t="s">
        <v>0</v>
      </c>
      <c r="Q3" s="169">
        <f t="shared" ref="Q3" si="1">N3+1</f>
        <v>45955</v>
      </c>
      <c r="R3" s="170"/>
      <c r="S3" s="158" t="s">
        <v>100</v>
      </c>
      <c r="T3" s="159"/>
      <c r="U3" s="160"/>
    </row>
    <row r="4" spans="2:24">
      <c r="B4" s="119"/>
      <c r="C4" s="120"/>
      <c r="D4" s="11" t="s">
        <v>1</v>
      </c>
      <c r="E4" s="171"/>
      <c r="F4" s="172"/>
      <c r="G4" s="11" t="s">
        <v>1</v>
      </c>
      <c r="H4" s="171">
        <v>45916</v>
      </c>
      <c r="I4" s="172"/>
      <c r="J4" s="11" t="s">
        <v>1</v>
      </c>
      <c r="K4" s="171">
        <v>45916</v>
      </c>
      <c r="L4" s="172"/>
      <c r="M4" s="11" t="s">
        <v>1</v>
      </c>
      <c r="N4" s="171">
        <v>45916</v>
      </c>
      <c r="O4" s="172"/>
      <c r="P4" s="11" t="s">
        <v>1</v>
      </c>
      <c r="Q4" s="171">
        <v>45916</v>
      </c>
      <c r="R4" s="172"/>
      <c r="S4" s="161"/>
      <c r="T4" s="162"/>
      <c r="U4" s="163"/>
    </row>
    <row r="5" spans="2:24" ht="28.8">
      <c r="B5" s="131"/>
      <c r="C5" s="132"/>
      <c r="D5" s="13" t="s">
        <v>2</v>
      </c>
      <c r="E5" s="3" t="s">
        <v>3</v>
      </c>
      <c r="F5" s="65" t="s">
        <v>4</v>
      </c>
      <c r="G5" s="13" t="s">
        <v>2</v>
      </c>
      <c r="H5" s="3" t="s">
        <v>3</v>
      </c>
      <c r="I5" s="65" t="s">
        <v>4</v>
      </c>
      <c r="J5" s="13" t="s">
        <v>2</v>
      </c>
      <c r="K5" s="3" t="s">
        <v>3</v>
      </c>
      <c r="L5" s="65" t="s">
        <v>4</v>
      </c>
      <c r="M5" s="13" t="s">
        <v>2</v>
      </c>
      <c r="N5" s="3" t="s">
        <v>3</v>
      </c>
      <c r="O5" s="65" t="s">
        <v>4</v>
      </c>
      <c r="P5" s="13" t="s">
        <v>2</v>
      </c>
      <c r="Q5" s="3" t="s">
        <v>3</v>
      </c>
      <c r="R5" s="65" t="s">
        <v>4</v>
      </c>
      <c r="S5" s="13" t="s">
        <v>2</v>
      </c>
      <c r="T5" s="3" t="s">
        <v>3</v>
      </c>
      <c r="U5" s="65" t="s">
        <v>4</v>
      </c>
    </row>
    <row r="6" spans="2:24">
      <c r="B6" s="14" t="s">
        <v>188</v>
      </c>
      <c r="C6" s="14" t="s">
        <v>89</v>
      </c>
      <c r="D6" s="79">
        <v>45670</v>
      </c>
      <c r="E6" s="4"/>
      <c r="F6" s="15"/>
      <c r="G6" s="79">
        <v>46046</v>
      </c>
      <c r="H6" s="4"/>
      <c r="I6" s="15"/>
      <c r="J6" s="79"/>
      <c r="K6" s="4"/>
      <c r="L6" s="15"/>
      <c r="M6" s="14"/>
      <c r="N6" s="4"/>
      <c r="O6" s="15"/>
      <c r="P6" s="14"/>
      <c r="Q6" s="4"/>
      <c r="R6" s="15"/>
      <c r="S6" s="14"/>
      <c r="T6" s="4"/>
      <c r="U6" s="15"/>
      <c r="W6" t="s">
        <v>101</v>
      </c>
      <c r="X6" s="75"/>
    </row>
    <row r="7" spans="2:24" ht="15.6">
      <c r="B7" s="84">
        <v>1</v>
      </c>
      <c r="C7" s="72" t="s">
        <v>77</v>
      </c>
      <c r="D7" s="84"/>
      <c r="E7" s="85" t="s">
        <v>72</v>
      </c>
      <c r="F7" s="89"/>
      <c r="G7" s="11"/>
      <c r="H7" s="2" t="s">
        <v>72</v>
      </c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  <c r="W7" t="s">
        <v>102</v>
      </c>
      <c r="X7" s="76"/>
    </row>
    <row r="8" spans="2:24" ht="15.6">
      <c r="B8" s="84">
        <v>2</v>
      </c>
      <c r="C8" s="72" t="s">
        <v>78</v>
      </c>
      <c r="D8" s="84"/>
      <c r="E8" s="85" t="s">
        <v>72</v>
      </c>
      <c r="F8" s="89"/>
      <c r="G8" s="11"/>
      <c r="H8" s="2" t="s">
        <v>72</v>
      </c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5.6">
      <c r="B9" s="84">
        <v>3</v>
      </c>
      <c r="C9" s="72" t="s">
        <v>79</v>
      </c>
      <c r="D9" s="105"/>
      <c r="E9" s="85" t="s">
        <v>72</v>
      </c>
      <c r="F9" s="89"/>
      <c r="G9" s="93"/>
      <c r="H9" s="2" t="s">
        <v>72</v>
      </c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5.6">
      <c r="B10" s="84">
        <v>4</v>
      </c>
      <c r="C10" s="72" t="s">
        <v>80</v>
      </c>
      <c r="D10" s="84" t="s">
        <v>72</v>
      </c>
      <c r="E10" s="85"/>
      <c r="F10" s="89"/>
      <c r="G10" s="11" t="s">
        <v>72</v>
      </c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5.6">
      <c r="B11" s="84">
        <v>5</v>
      </c>
      <c r="C11" s="72" t="s">
        <v>189</v>
      </c>
      <c r="D11" s="84" t="s">
        <v>72</v>
      </c>
      <c r="E11" s="85"/>
      <c r="F11" s="89"/>
      <c r="G11" s="93" t="s">
        <v>72</v>
      </c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5.6">
      <c r="B12" s="84">
        <v>6</v>
      </c>
      <c r="C12" s="72" t="s">
        <v>81</v>
      </c>
      <c r="D12" s="84" t="s">
        <v>72</v>
      </c>
      <c r="E12" s="85"/>
      <c r="F12" s="89"/>
      <c r="G12" s="11" t="s">
        <v>72</v>
      </c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5.6">
      <c r="B13" s="84">
        <v>7</v>
      </c>
      <c r="C13" s="72" t="s">
        <v>82</v>
      </c>
      <c r="D13" s="84" t="s">
        <v>72</v>
      </c>
      <c r="E13" s="85"/>
      <c r="F13" s="89"/>
      <c r="G13" s="93" t="s">
        <v>72</v>
      </c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  <c r="X13">
        <v>43</v>
      </c>
    </row>
    <row r="14" spans="2:24" ht="15.6">
      <c r="B14" s="84">
        <v>8</v>
      </c>
      <c r="C14" s="72" t="s">
        <v>190</v>
      </c>
      <c r="D14" s="84" t="s">
        <v>72</v>
      </c>
      <c r="E14" s="85"/>
      <c r="F14" s="89"/>
      <c r="G14" s="11" t="s">
        <v>72</v>
      </c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  <c r="X14">
        <v>64</v>
      </c>
    </row>
    <row r="15" spans="2:24" ht="15.6">
      <c r="B15" s="84">
        <v>9</v>
      </c>
      <c r="C15" s="72" t="s">
        <v>170</v>
      </c>
      <c r="D15" s="84" t="s">
        <v>72</v>
      </c>
      <c r="E15" s="85"/>
      <c r="F15" s="90"/>
      <c r="G15" s="11" t="s">
        <v>72</v>
      </c>
      <c r="H15" s="2"/>
      <c r="I15" s="12"/>
      <c r="J15" s="11"/>
      <c r="K15" s="2"/>
      <c r="L15" s="12"/>
      <c r="M15" s="11"/>
      <c r="N15" s="2"/>
      <c r="O15" s="12"/>
      <c r="P15" s="11"/>
      <c r="Q15" s="2"/>
      <c r="R15" s="12"/>
      <c r="S15" s="11"/>
      <c r="T15" s="2"/>
      <c r="U15" s="12"/>
    </row>
    <row r="16" spans="2:24" ht="15.6">
      <c r="B16" s="84">
        <v>10</v>
      </c>
      <c r="C16" s="72" t="s">
        <v>111</v>
      </c>
      <c r="D16" s="84" t="s">
        <v>72</v>
      </c>
      <c r="E16" s="87"/>
      <c r="F16" s="91"/>
      <c r="G16" s="22" t="s">
        <v>72</v>
      </c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5.6">
      <c r="B17" s="84">
        <v>11</v>
      </c>
      <c r="C17" s="72" t="s">
        <v>191</v>
      </c>
      <c r="D17" s="84" t="s">
        <v>72</v>
      </c>
      <c r="E17" s="87"/>
      <c r="F17" s="91"/>
      <c r="G17" s="22" t="s">
        <v>72</v>
      </c>
      <c r="H17" s="23"/>
      <c r="I17" s="24"/>
      <c r="J17" s="22"/>
      <c r="K17" s="23"/>
      <c r="L17" s="24"/>
      <c r="M17" s="22"/>
      <c r="N17" s="23"/>
      <c r="O17" s="24"/>
      <c r="P17" s="22"/>
      <c r="Q17" s="23"/>
      <c r="R17" s="24"/>
      <c r="S17" s="22"/>
      <c r="T17" s="23"/>
      <c r="U17" s="24"/>
    </row>
    <row r="18" spans="2:21" ht="15.6">
      <c r="B18" s="84">
        <v>12</v>
      </c>
      <c r="C18" s="72" t="s">
        <v>192</v>
      </c>
      <c r="D18" s="84" t="s">
        <v>72</v>
      </c>
      <c r="E18" s="87"/>
      <c r="F18" s="91"/>
      <c r="G18" s="22" t="s">
        <v>72</v>
      </c>
      <c r="H18" s="23"/>
      <c r="I18" s="24"/>
      <c r="J18" s="22"/>
      <c r="K18" s="23"/>
      <c r="L18" s="24"/>
      <c r="M18" s="22"/>
      <c r="N18" s="23"/>
      <c r="O18" s="24"/>
      <c r="P18" s="22"/>
      <c r="Q18" s="23"/>
      <c r="R18" s="24"/>
      <c r="S18" s="22"/>
      <c r="T18" s="23"/>
      <c r="U18" s="24"/>
    </row>
    <row r="19" spans="2:21" ht="15.6">
      <c r="B19" s="84">
        <v>13</v>
      </c>
      <c r="C19" s="72" t="s">
        <v>193</v>
      </c>
      <c r="D19" s="84" t="s">
        <v>72</v>
      </c>
      <c r="E19" s="87"/>
      <c r="F19" s="91"/>
      <c r="G19" s="22" t="s">
        <v>72</v>
      </c>
      <c r="H19" s="23"/>
      <c r="I19" s="24"/>
      <c r="J19" s="22"/>
      <c r="K19" s="23"/>
      <c r="L19" s="24"/>
      <c r="M19" s="22"/>
      <c r="N19" s="23"/>
      <c r="O19" s="24"/>
      <c r="P19" s="22"/>
      <c r="Q19" s="23"/>
      <c r="R19" s="24"/>
      <c r="S19" s="22"/>
      <c r="T19" s="23"/>
      <c r="U19" s="24"/>
    </row>
    <row r="20" spans="2:21" ht="16.2" thickBot="1">
      <c r="B20" s="84">
        <v>15</v>
      </c>
      <c r="C20" s="72" t="s">
        <v>184</v>
      </c>
      <c r="D20" s="84" t="s">
        <v>72</v>
      </c>
      <c r="E20" s="87"/>
      <c r="F20" s="91"/>
      <c r="G20" s="22" t="s">
        <v>72</v>
      </c>
      <c r="H20" s="23"/>
      <c r="I20" s="24"/>
      <c r="J20" s="22"/>
      <c r="K20" s="23"/>
      <c r="L20" s="24"/>
      <c r="M20" s="22"/>
      <c r="N20" s="23"/>
      <c r="O20" s="24"/>
      <c r="P20" s="22"/>
      <c r="Q20" s="23"/>
      <c r="R20" s="24"/>
      <c r="S20" s="22"/>
      <c r="T20" s="23"/>
      <c r="U20" s="24"/>
    </row>
    <row r="21" spans="2:21" ht="15" thickBot="1">
      <c r="B21" s="164" t="s">
        <v>14</v>
      </c>
      <c r="C21" s="165"/>
      <c r="D21" s="166">
        <f>(COUNTIF(D7:D20, "X"))/((COUNTA($C$7:$C$20))-(COUNTA(F7:F20)))</f>
        <v>0.7857142857142857</v>
      </c>
      <c r="E21" s="167"/>
      <c r="F21" s="168"/>
      <c r="G21" s="137">
        <f>(COUNTIF(G7:G20, "X"))/((COUNTA($C$7:$C$20))-(COUNTA(I7:I20)))</f>
        <v>0.7857142857142857</v>
      </c>
      <c r="H21" s="138"/>
      <c r="I21" s="139"/>
      <c r="J21" s="137">
        <f>(COUNTIF(J7:J20, "X"))/((COUNTA($C$7:$C$20))-(COUNTA(L7:L20)))</f>
        <v>0</v>
      </c>
      <c r="K21" s="138"/>
      <c r="L21" s="139"/>
      <c r="M21" s="137">
        <f>(COUNTIF(M7:M20, "X"))/((COUNTA($C$7:$C$20))-(COUNTA(O7:O20)))</f>
        <v>0</v>
      </c>
      <c r="N21" s="138"/>
      <c r="O21" s="139"/>
      <c r="P21" s="137">
        <f>(COUNTIF(P7:P20, "X"))/((COUNTA($C$7:$C$20))-(COUNTA(R7:R20)))</f>
        <v>0</v>
      </c>
      <c r="Q21" s="138"/>
      <c r="R21" s="139"/>
      <c r="S21" s="137">
        <f>(COUNTIF(S7:S20, "X"))/((COUNTA($C$7:$C$20))-(COUNTA(U7:U20)))</f>
        <v>0</v>
      </c>
      <c r="T21" s="138"/>
      <c r="U21" s="139"/>
    </row>
    <row r="22" spans="2:21" ht="14.4" customHeight="1">
      <c r="B22" s="96" t="s">
        <v>188</v>
      </c>
      <c r="C22" s="96" t="s">
        <v>48</v>
      </c>
      <c r="D22" s="88">
        <v>46028</v>
      </c>
      <c r="E22" s="83" t="s">
        <v>228</v>
      </c>
      <c r="F22" s="27"/>
      <c r="G22" s="80">
        <v>46044</v>
      </c>
      <c r="H22" s="26" t="s">
        <v>229</v>
      </c>
      <c r="I22" s="27"/>
      <c r="J22" s="25"/>
      <c r="K22" s="26"/>
      <c r="L22" s="27"/>
      <c r="M22" s="25"/>
      <c r="N22" s="26"/>
      <c r="O22" s="27"/>
      <c r="P22" s="25"/>
      <c r="Q22" s="26"/>
      <c r="R22" s="27"/>
      <c r="S22" s="25"/>
      <c r="T22" s="26"/>
      <c r="U22" s="27"/>
    </row>
    <row r="23" spans="2:21" ht="15.6">
      <c r="B23" s="84">
        <v>1</v>
      </c>
      <c r="C23" s="72" t="s">
        <v>83</v>
      </c>
      <c r="D23" s="84" t="s">
        <v>72</v>
      </c>
      <c r="E23" s="85"/>
      <c r="F23" s="12"/>
      <c r="G23" s="11" t="s">
        <v>72</v>
      </c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84">
        <v>2</v>
      </c>
      <c r="C24" s="72" t="s">
        <v>84</v>
      </c>
      <c r="D24" s="84" t="s">
        <v>72</v>
      </c>
      <c r="E24" s="85"/>
      <c r="F24" s="12"/>
      <c r="G24" s="11"/>
      <c r="H24" s="2" t="s">
        <v>72</v>
      </c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84">
        <v>3</v>
      </c>
      <c r="C25" s="72" t="s">
        <v>147</v>
      </c>
      <c r="D25" s="84"/>
      <c r="E25" s="85" t="s">
        <v>72</v>
      </c>
      <c r="F25" s="12"/>
      <c r="G25" s="11"/>
      <c r="H25" s="2" t="s">
        <v>72</v>
      </c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84">
        <v>4</v>
      </c>
      <c r="C26" s="72" t="s">
        <v>148</v>
      </c>
      <c r="D26" s="84"/>
      <c r="E26" s="85" t="s">
        <v>72</v>
      </c>
      <c r="F26" s="12"/>
      <c r="G26" s="11"/>
      <c r="H26" s="2" t="s">
        <v>72</v>
      </c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84">
        <v>5</v>
      </c>
      <c r="C27" s="72" t="s">
        <v>194</v>
      </c>
      <c r="D27" s="84" t="s">
        <v>72</v>
      </c>
      <c r="E27" s="85"/>
      <c r="F27" s="12"/>
      <c r="G27" s="11" t="s">
        <v>72</v>
      </c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84">
        <v>6</v>
      </c>
      <c r="C28" s="72" t="s">
        <v>85</v>
      </c>
      <c r="D28" s="84" t="s">
        <v>72</v>
      </c>
      <c r="E28" s="85"/>
      <c r="F28" s="12"/>
      <c r="G28" s="11" t="s">
        <v>72</v>
      </c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84">
        <v>7</v>
      </c>
      <c r="C29" s="72" t="s">
        <v>86</v>
      </c>
      <c r="D29" s="84" t="s">
        <v>72</v>
      </c>
      <c r="E29" s="85"/>
      <c r="F29" s="12"/>
      <c r="G29" s="93" t="s">
        <v>72</v>
      </c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84">
        <v>8</v>
      </c>
      <c r="C30" s="72" t="s">
        <v>87</v>
      </c>
      <c r="D30" s="84"/>
      <c r="E30" s="85" t="s">
        <v>72</v>
      </c>
      <c r="F30" s="12"/>
      <c r="G30" s="11" t="s">
        <v>72</v>
      </c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5.6">
      <c r="B31" s="84">
        <v>9</v>
      </c>
      <c r="C31" s="72" t="s">
        <v>88</v>
      </c>
      <c r="D31" s="84" t="s">
        <v>72</v>
      </c>
      <c r="E31" s="85"/>
      <c r="F31" s="12"/>
      <c r="G31" s="11" t="s">
        <v>72</v>
      </c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.6">
      <c r="B32" s="84">
        <v>10</v>
      </c>
      <c r="C32" s="72" t="s">
        <v>195</v>
      </c>
      <c r="D32" s="84" t="s">
        <v>72</v>
      </c>
      <c r="E32" s="85"/>
      <c r="F32" s="12"/>
      <c r="G32" s="93" t="s">
        <v>72</v>
      </c>
      <c r="H32" s="2"/>
      <c r="I32" s="12"/>
      <c r="J32" s="11"/>
      <c r="K32" s="2"/>
      <c r="L32" s="12"/>
      <c r="M32" s="11"/>
      <c r="N32" s="2"/>
      <c r="O32" s="12"/>
      <c r="P32" s="11"/>
      <c r="Q32" s="2"/>
      <c r="R32" s="12"/>
      <c r="S32" s="11"/>
      <c r="T32" s="2"/>
      <c r="U32" s="12"/>
    </row>
    <row r="33" spans="2:21" ht="15.6">
      <c r="B33" s="84">
        <v>11</v>
      </c>
      <c r="C33" s="72" t="s">
        <v>192</v>
      </c>
      <c r="D33" s="84" t="s">
        <v>72</v>
      </c>
      <c r="E33" s="85"/>
      <c r="F33" s="12"/>
      <c r="G33" s="11" t="s">
        <v>72</v>
      </c>
      <c r="H33" s="2"/>
      <c r="I33" s="12"/>
      <c r="J33" s="11"/>
      <c r="K33" s="2"/>
      <c r="L33" s="12"/>
      <c r="M33" s="11"/>
      <c r="N33" s="2"/>
      <c r="O33" s="12"/>
      <c r="P33" s="11"/>
      <c r="Q33" s="2"/>
      <c r="R33" s="12"/>
      <c r="S33" s="11"/>
      <c r="T33" s="2"/>
      <c r="U33" s="12"/>
    </row>
    <row r="34" spans="2:21" ht="15.6">
      <c r="B34" s="84">
        <v>12</v>
      </c>
      <c r="C34" s="72" t="s">
        <v>108</v>
      </c>
      <c r="D34" s="86" t="s">
        <v>72</v>
      </c>
      <c r="E34" s="87"/>
      <c r="F34" s="24"/>
      <c r="G34" s="22" t="s">
        <v>72</v>
      </c>
      <c r="H34" s="23"/>
      <c r="I34" s="24"/>
      <c r="J34" s="22"/>
      <c r="K34" s="23"/>
      <c r="L34" s="24"/>
      <c r="M34" s="22"/>
      <c r="N34" s="23"/>
      <c r="O34" s="24"/>
      <c r="P34" s="22"/>
      <c r="Q34" s="23"/>
      <c r="R34" s="24"/>
      <c r="S34" s="22"/>
      <c r="T34" s="23"/>
      <c r="U34" s="24"/>
    </row>
    <row r="35" spans="2:21" ht="15.6">
      <c r="B35" s="84">
        <v>13</v>
      </c>
      <c r="C35" s="72" t="s">
        <v>184</v>
      </c>
      <c r="D35" s="86" t="s">
        <v>72</v>
      </c>
      <c r="E35" s="87"/>
      <c r="F35" s="24"/>
      <c r="G35" s="22" t="s">
        <v>72</v>
      </c>
      <c r="H35" s="23"/>
      <c r="I35" s="24"/>
      <c r="J35" s="22"/>
      <c r="K35" s="23"/>
      <c r="L35" s="24"/>
      <c r="M35" s="22"/>
      <c r="N35" s="23"/>
      <c r="O35" s="24"/>
      <c r="P35" s="22"/>
      <c r="Q35" s="23"/>
      <c r="R35" s="24"/>
      <c r="S35" s="22"/>
      <c r="T35" s="23"/>
      <c r="U35" s="24"/>
    </row>
    <row r="36" spans="2:21" ht="15.6">
      <c r="B36" s="84">
        <v>14</v>
      </c>
      <c r="C36" s="72" t="s">
        <v>146</v>
      </c>
      <c r="D36" s="86" t="s">
        <v>72</v>
      </c>
      <c r="E36" s="87"/>
      <c r="F36" s="24"/>
      <c r="G36" s="22" t="s">
        <v>72</v>
      </c>
      <c r="H36" s="23"/>
      <c r="I36" s="24"/>
      <c r="J36" s="22"/>
      <c r="K36" s="23"/>
      <c r="L36" s="24"/>
      <c r="M36" s="22"/>
      <c r="N36" s="23"/>
      <c r="O36" s="24"/>
      <c r="P36" s="22"/>
      <c r="Q36" s="23"/>
      <c r="R36" s="24"/>
      <c r="S36" s="22"/>
      <c r="T36" s="23"/>
      <c r="U36" s="24"/>
    </row>
    <row r="37" spans="2:21" ht="16.2" thickBot="1">
      <c r="B37" s="84">
        <v>15</v>
      </c>
      <c r="C37" s="72" t="s">
        <v>170</v>
      </c>
      <c r="D37" s="86" t="s">
        <v>72</v>
      </c>
      <c r="E37" s="87"/>
      <c r="F37" s="24"/>
      <c r="G37" s="22" t="s">
        <v>72</v>
      </c>
      <c r="H37" s="23"/>
      <c r="I37" s="24"/>
      <c r="J37" s="22"/>
      <c r="K37" s="23"/>
      <c r="L37" s="24"/>
      <c r="M37" s="22"/>
      <c r="N37" s="23"/>
      <c r="O37" s="24"/>
      <c r="P37" s="22"/>
      <c r="Q37" s="23"/>
      <c r="R37" s="24"/>
      <c r="S37" s="22"/>
      <c r="T37" s="23"/>
      <c r="U37" s="24"/>
    </row>
    <row r="38" spans="2:21" ht="15" thickBot="1">
      <c r="B38" s="142" t="s">
        <v>14</v>
      </c>
      <c r="C38" s="143"/>
      <c r="D38" s="137">
        <f>(COUNTIF(D23:D37, "X"))/((COUNTA($C$23:$C$37))-(COUNTA(F23:F37)))</f>
        <v>0.8</v>
      </c>
      <c r="E38" s="138"/>
      <c r="F38" s="139"/>
      <c r="G38" s="137">
        <f>(COUNTIF(G23:G37, "X"))/((COUNTA($C$23:$C$37))-(COUNTA(I23:I37)))</f>
        <v>0.8</v>
      </c>
      <c r="H38" s="138"/>
      <c r="I38" s="139"/>
      <c r="J38" s="137">
        <f>(COUNTIF(J23:J37, "X"))/((COUNTA($C$23:$C$37))-(COUNTA(L23:L37)))</f>
        <v>0</v>
      </c>
      <c r="K38" s="138"/>
      <c r="L38" s="139"/>
      <c r="M38" s="137">
        <f>(COUNTIF(M23:M37, "X"))/((COUNTA($C$23:$C$37))-(COUNTA(O23:O37)))</f>
        <v>0</v>
      </c>
      <c r="N38" s="138"/>
      <c r="O38" s="139"/>
      <c r="P38" s="137">
        <f>(COUNTIF(P23:P37, "X"))/((COUNTA($C$23:$C$37))-(COUNTA(R23:R37)))</f>
        <v>0</v>
      </c>
      <c r="Q38" s="138"/>
      <c r="R38" s="139"/>
      <c r="S38" s="137">
        <f>(COUNTIF(S23:S37, "X"))/((COUNTA($C$23:$C$37))-(COUNTA(U23:U37)))</f>
        <v>0</v>
      </c>
      <c r="T38" s="138"/>
      <c r="U38" s="139"/>
    </row>
    <row r="39" spans="2:21" ht="14.4" customHeight="1">
      <c r="B39" s="103" t="s">
        <v>188</v>
      </c>
      <c r="C39" s="103" t="s">
        <v>93</v>
      </c>
      <c r="D39" s="80">
        <v>46027</v>
      </c>
      <c r="E39" s="28"/>
      <c r="F39" s="27"/>
      <c r="G39" s="80">
        <v>46048</v>
      </c>
      <c r="H39" s="28"/>
      <c r="I39" s="27"/>
      <c r="J39" s="25"/>
      <c r="K39" s="28"/>
      <c r="L39" s="27"/>
      <c r="M39" s="25"/>
      <c r="N39" s="28"/>
      <c r="O39" s="27"/>
      <c r="P39" s="25"/>
      <c r="Q39" s="28"/>
      <c r="R39" s="27"/>
      <c r="S39" s="25"/>
      <c r="T39" s="28"/>
      <c r="U39" s="27"/>
    </row>
    <row r="40" spans="2:21" ht="15.6">
      <c r="B40" s="11">
        <v>1</v>
      </c>
      <c r="C40" s="73" t="s">
        <v>196</v>
      </c>
      <c r="D40" s="11" t="s">
        <v>72</v>
      </c>
      <c r="E40" s="2"/>
      <c r="F40" s="12"/>
      <c r="G40" s="11"/>
      <c r="H40" s="2" t="s">
        <v>72</v>
      </c>
      <c r="I40" s="12"/>
      <c r="J40" s="11"/>
      <c r="K40" s="2"/>
      <c r="L40" s="12"/>
      <c r="M40" s="11"/>
      <c r="N40" s="2"/>
      <c r="O40" s="12"/>
      <c r="P40" s="11"/>
      <c r="Q40" s="2"/>
      <c r="R40" s="12"/>
      <c r="S40" s="11"/>
      <c r="T40" s="2"/>
      <c r="U40" s="12"/>
    </row>
    <row r="41" spans="2:21" ht="15.6">
      <c r="B41" s="11">
        <v>2</v>
      </c>
      <c r="C41" s="72" t="s">
        <v>90</v>
      </c>
      <c r="D41" s="2" t="s">
        <v>72</v>
      </c>
      <c r="E41" s="12"/>
      <c r="F41" s="12"/>
      <c r="G41" s="11"/>
      <c r="H41" s="2" t="s">
        <v>72</v>
      </c>
      <c r="I41" s="12"/>
      <c r="J41" s="2"/>
      <c r="K41" s="12"/>
      <c r="L41" s="12"/>
      <c r="M41" s="11"/>
      <c r="N41" s="2"/>
      <c r="O41" s="12"/>
      <c r="P41" s="11"/>
      <c r="Q41" s="2"/>
      <c r="R41" s="12"/>
      <c r="S41" s="11"/>
      <c r="T41" s="2"/>
      <c r="U41" s="12"/>
    </row>
    <row r="42" spans="2:21" ht="15.6">
      <c r="B42" s="11">
        <v>3</v>
      </c>
      <c r="C42" s="72" t="s">
        <v>91</v>
      </c>
      <c r="D42" s="2"/>
      <c r="E42" s="12" t="s">
        <v>72</v>
      </c>
      <c r="F42" s="12"/>
      <c r="G42" s="11" t="s">
        <v>72</v>
      </c>
      <c r="H42" s="2"/>
      <c r="I42" s="12"/>
      <c r="J42" s="2"/>
      <c r="K42" s="12"/>
      <c r="L42" s="12"/>
      <c r="M42" s="11"/>
      <c r="N42" s="2"/>
      <c r="O42" s="12"/>
      <c r="P42" s="11"/>
      <c r="Q42" s="2"/>
      <c r="R42" s="12"/>
      <c r="S42" s="11"/>
      <c r="T42" s="2"/>
      <c r="U42" s="12"/>
    </row>
    <row r="43" spans="2:21" ht="15.6">
      <c r="B43" s="11">
        <v>4</v>
      </c>
      <c r="C43" s="72" t="s">
        <v>109</v>
      </c>
      <c r="D43" s="2" t="s">
        <v>72</v>
      </c>
      <c r="E43" s="12"/>
      <c r="F43" s="12"/>
      <c r="G43" s="11" t="s">
        <v>72</v>
      </c>
      <c r="H43" s="2"/>
      <c r="I43" s="12"/>
      <c r="J43" s="2"/>
      <c r="K43" s="12"/>
      <c r="L43" s="12"/>
      <c r="M43" s="11"/>
      <c r="N43" s="2"/>
      <c r="O43" s="12"/>
      <c r="P43" s="11"/>
      <c r="Q43" s="2"/>
      <c r="R43" s="12"/>
      <c r="S43" s="11"/>
      <c r="T43" s="2"/>
      <c r="U43" s="12"/>
    </row>
    <row r="44" spans="2:21" ht="15.6">
      <c r="B44" s="11">
        <v>5</v>
      </c>
      <c r="C44" s="72" t="s">
        <v>92</v>
      </c>
      <c r="D44" s="2" t="s">
        <v>72</v>
      </c>
      <c r="E44" s="12"/>
      <c r="F44" s="12"/>
      <c r="G44" s="11" t="s">
        <v>72</v>
      </c>
      <c r="H44" s="2"/>
      <c r="I44" s="12"/>
      <c r="J44" s="2"/>
      <c r="K44" s="12"/>
      <c r="L44" s="12"/>
      <c r="M44" s="11"/>
      <c r="N44" s="2"/>
      <c r="O44" s="12"/>
      <c r="P44" s="11"/>
      <c r="Q44" s="2"/>
      <c r="R44" s="12"/>
      <c r="S44" s="11"/>
      <c r="T44" s="2"/>
      <c r="U44" s="12"/>
    </row>
    <row r="45" spans="2:21" ht="15.6">
      <c r="B45" s="11">
        <v>6</v>
      </c>
      <c r="C45" s="72" t="s">
        <v>114</v>
      </c>
      <c r="D45" s="23"/>
      <c r="E45" s="24" t="s">
        <v>72</v>
      </c>
      <c r="F45" s="24"/>
      <c r="G45" s="22"/>
      <c r="H45" s="23" t="s">
        <v>72</v>
      </c>
      <c r="I45" s="24"/>
      <c r="J45" s="23"/>
      <c r="K45" s="24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7</v>
      </c>
      <c r="C46" s="72" t="s">
        <v>180</v>
      </c>
      <c r="D46" s="23" t="s">
        <v>72</v>
      </c>
      <c r="E46" s="24"/>
      <c r="F46" s="24"/>
      <c r="G46" s="22" t="s">
        <v>72</v>
      </c>
      <c r="H46" s="23"/>
      <c r="I46" s="24"/>
      <c r="J46" s="23"/>
      <c r="K46" s="24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8</v>
      </c>
      <c r="C47" s="72" t="s">
        <v>110</v>
      </c>
      <c r="D47" s="23"/>
      <c r="E47" s="24" t="s">
        <v>72</v>
      </c>
      <c r="F47" s="24"/>
      <c r="G47" s="104"/>
      <c r="H47" s="23" t="s">
        <v>72</v>
      </c>
      <c r="I47" s="24"/>
      <c r="J47" s="23"/>
      <c r="K47" s="24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5.6">
      <c r="B48" s="11">
        <v>9</v>
      </c>
      <c r="C48" s="72" t="s">
        <v>112</v>
      </c>
      <c r="D48" s="23" t="s">
        <v>72</v>
      </c>
      <c r="E48" s="24"/>
      <c r="F48" s="24"/>
      <c r="G48" s="22" t="s">
        <v>72</v>
      </c>
      <c r="H48" s="23"/>
      <c r="I48" s="24"/>
      <c r="J48" s="23"/>
      <c r="K48" s="24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.6">
      <c r="B49" s="11">
        <v>10</v>
      </c>
      <c r="C49" s="72" t="s">
        <v>115</v>
      </c>
      <c r="D49" s="23" t="s">
        <v>72</v>
      </c>
      <c r="E49" s="24"/>
      <c r="F49" s="24"/>
      <c r="G49" s="22" t="s">
        <v>72</v>
      </c>
      <c r="H49" s="23"/>
      <c r="I49" s="24"/>
      <c r="J49" s="23"/>
      <c r="K49" s="24"/>
      <c r="L49" s="24"/>
      <c r="M49" s="22"/>
      <c r="N49" s="23"/>
      <c r="O49" s="24"/>
      <c r="P49" s="22"/>
      <c r="Q49" s="23"/>
      <c r="R49" s="24"/>
      <c r="S49" s="22"/>
      <c r="T49" s="23"/>
      <c r="U49" s="24"/>
    </row>
    <row r="50" spans="2:21" ht="15.6">
      <c r="B50" s="11">
        <v>11</v>
      </c>
      <c r="C50" s="72" t="s">
        <v>113</v>
      </c>
      <c r="D50" s="23" t="s">
        <v>72</v>
      </c>
      <c r="E50" s="24"/>
      <c r="F50" s="24"/>
      <c r="G50" s="22" t="s">
        <v>72</v>
      </c>
      <c r="H50" s="23"/>
      <c r="I50" s="24"/>
      <c r="J50" s="23"/>
      <c r="K50" s="24"/>
      <c r="L50" s="24"/>
      <c r="M50" s="22"/>
      <c r="N50" s="23"/>
      <c r="O50" s="24"/>
      <c r="P50" s="22"/>
      <c r="Q50" s="23"/>
      <c r="R50" s="24"/>
      <c r="S50" s="22"/>
      <c r="T50" s="23"/>
      <c r="U50" s="24"/>
    </row>
    <row r="51" spans="2:21" ht="15.6">
      <c r="B51" s="11">
        <v>12</v>
      </c>
      <c r="C51" s="72" t="s">
        <v>142</v>
      </c>
      <c r="D51" s="23" t="s">
        <v>72</v>
      </c>
      <c r="E51" s="24"/>
      <c r="F51" s="24"/>
      <c r="G51" s="22" t="s">
        <v>72</v>
      </c>
      <c r="H51" s="23"/>
      <c r="I51" s="24"/>
      <c r="J51" s="23"/>
      <c r="K51" s="24"/>
      <c r="L51" s="24"/>
      <c r="M51" s="22"/>
      <c r="N51" s="23"/>
      <c r="O51" s="24"/>
      <c r="P51" s="22"/>
      <c r="Q51" s="23"/>
      <c r="R51" s="24"/>
      <c r="S51" s="22"/>
      <c r="T51" s="23"/>
      <c r="U51" s="24"/>
    </row>
    <row r="52" spans="2:21" ht="15.6">
      <c r="B52" s="11">
        <v>13</v>
      </c>
      <c r="C52" s="72" t="s">
        <v>197</v>
      </c>
      <c r="D52" s="23" t="s">
        <v>72</v>
      </c>
      <c r="E52" s="24"/>
      <c r="F52" s="24"/>
      <c r="G52" s="22" t="s">
        <v>72</v>
      </c>
      <c r="H52" s="23"/>
      <c r="I52" s="24"/>
      <c r="J52" s="23"/>
      <c r="K52" s="24"/>
      <c r="L52" s="24"/>
      <c r="M52" s="22"/>
      <c r="N52" s="23"/>
      <c r="O52" s="24"/>
      <c r="P52" s="22"/>
      <c r="Q52" s="23"/>
      <c r="R52" s="24"/>
      <c r="S52" s="22"/>
      <c r="T52" s="23"/>
      <c r="U52" s="24"/>
    </row>
    <row r="53" spans="2:21" ht="15.6">
      <c r="B53" s="11">
        <v>14</v>
      </c>
      <c r="C53" s="72" t="s">
        <v>209</v>
      </c>
      <c r="D53" s="23" t="s">
        <v>72</v>
      </c>
      <c r="E53" s="24"/>
      <c r="F53" s="24"/>
      <c r="G53" s="22" t="s">
        <v>72</v>
      </c>
      <c r="H53" s="23"/>
      <c r="I53" s="24"/>
      <c r="J53" s="23"/>
      <c r="K53" s="24"/>
      <c r="L53" s="24"/>
      <c r="M53" s="22"/>
      <c r="N53" s="23"/>
      <c r="O53" s="24"/>
      <c r="P53" s="22"/>
      <c r="Q53" s="23"/>
      <c r="R53" s="24"/>
      <c r="S53" s="22"/>
      <c r="T53" s="23"/>
      <c r="U53" s="24"/>
    </row>
    <row r="54" spans="2:21" ht="15.6">
      <c r="B54" s="11">
        <v>15</v>
      </c>
      <c r="C54" s="72" t="s">
        <v>198</v>
      </c>
      <c r="D54" s="23" t="s">
        <v>72</v>
      </c>
      <c r="E54" s="24"/>
      <c r="F54" s="24"/>
      <c r="G54" s="22" t="s">
        <v>72</v>
      </c>
      <c r="H54" s="23"/>
      <c r="I54" s="24"/>
      <c r="J54" s="23"/>
      <c r="K54" s="24"/>
      <c r="L54" s="24"/>
      <c r="M54" s="22"/>
      <c r="N54" s="23"/>
      <c r="O54" s="24"/>
      <c r="P54" s="22"/>
      <c r="Q54" s="23"/>
      <c r="R54" s="24"/>
      <c r="S54" s="22"/>
      <c r="T54" s="23"/>
      <c r="U54" s="24"/>
    </row>
    <row r="55" spans="2:21" ht="16.2" thickBot="1">
      <c r="B55" s="11">
        <v>16</v>
      </c>
      <c r="C55" s="72" t="s">
        <v>173</v>
      </c>
      <c r="D55" s="23" t="s">
        <v>72</v>
      </c>
      <c r="E55" s="24"/>
      <c r="F55" s="24"/>
      <c r="G55" s="22" t="s">
        <v>72</v>
      </c>
      <c r="H55" s="23"/>
      <c r="I55" s="24"/>
      <c r="J55" s="23"/>
      <c r="K55" s="24"/>
      <c r="L55" s="24"/>
      <c r="M55" s="22"/>
      <c r="N55" s="23"/>
      <c r="O55" s="24"/>
      <c r="P55" s="22"/>
      <c r="Q55" s="23"/>
      <c r="R55" s="24"/>
      <c r="S55" s="22"/>
      <c r="T55" s="23"/>
      <c r="U55" s="24"/>
    </row>
    <row r="56" spans="2:21" ht="15" customHeight="1" thickBot="1">
      <c r="B56" s="102"/>
      <c r="C56" s="102" t="s">
        <v>14</v>
      </c>
      <c r="D56" s="99">
        <f>(COUNTIF(D40:D55, "X"))/((COUNTA($C$40:$C$55))-(COUNTA(F40:F55)))</f>
        <v>0.8125</v>
      </c>
      <c r="E56" s="100"/>
      <c r="F56" s="101"/>
      <c r="G56" s="99">
        <f>(COUNTIF(G40:G55, "X"))/((COUNTA($C$40:$C$55))-(COUNTA(I40:I55)))</f>
        <v>0.75</v>
      </c>
      <c r="H56" s="100"/>
      <c r="I56" s="101"/>
      <c r="J56" s="137">
        <f>(COUNTIF(J40:J55, "X"))/((COUNTA($C$40:$C$55))-(COUNTA(L40:L55)))</f>
        <v>0</v>
      </c>
      <c r="K56" s="138"/>
      <c r="L56" s="139"/>
      <c r="M56" s="137">
        <f>(COUNTIF(M40:M55, "X"))/((COUNTA($C$40:$C$55))-(COUNTA(O40:O55)))</f>
        <v>0</v>
      </c>
      <c r="N56" s="138"/>
      <c r="O56" s="139"/>
      <c r="P56" s="137">
        <f>(COUNTIF(P40:P55, "X"))/((COUNTA($C$40:$C$55))-(COUNTA(R40:R55)))</f>
        <v>0</v>
      </c>
      <c r="Q56" s="138"/>
      <c r="R56" s="139"/>
      <c r="S56" s="137">
        <f>(COUNTIF(S40:S55, "X"))/((COUNTA($C$40:$C$55))-(COUNTA(U40:U55)))</f>
        <v>0</v>
      </c>
      <c r="T56" s="138"/>
      <c r="U56" s="139"/>
    </row>
    <row r="57" spans="2:21">
      <c r="B57" s="147" t="s">
        <v>95</v>
      </c>
      <c r="C57" s="148"/>
      <c r="D57" s="25"/>
      <c r="E57" s="28"/>
      <c r="F57" s="27"/>
      <c r="G57" s="25"/>
      <c r="H57" s="28"/>
      <c r="I57" s="27"/>
      <c r="J57" s="25"/>
      <c r="K57" s="28"/>
      <c r="L57" s="27"/>
      <c r="M57" s="25"/>
      <c r="N57" s="28"/>
      <c r="O57" s="27"/>
      <c r="P57" s="25"/>
      <c r="Q57" s="28"/>
      <c r="R57" s="27"/>
      <c r="S57" s="25"/>
      <c r="T57" s="28"/>
      <c r="U57" s="27"/>
    </row>
    <row r="58" spans="2:21" ht="15.6">
      <c r="B58" s="11">
        <v>1</v>
      </c>
      <c r="C58" s="72" t="s">
        <v>199</v>
      </c>
      <c r="D58" s="11"/>
      <c r="E58" s="2"/>
      <c r="F58" s="12"/>
      <c r="G58" s="11"/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2</v>
      </c>
      <c r="C59" s="72" t="s">
        <v>200</v>
      </c>
      <c r="D59" s="11"/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3</v>
      </c>
      <c r="C60" s="72" t="s">
        <v>94</v>
      </c>
      <c r="D60" s="11"/>
      <c r="E60" s="2"/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 ht="15.6">
      <c r="B61" s="11">
        <v>4</v>
      </c>
      <c r="C61" s="72" t="s">
        <v>201</v>
      </c>
      <c r="D61" s="11"/>
      <c r="E61" s="2"/>
      <c r="F61" s="12"/>
      <c r="G61" s="11"/>
      <c r="H61" s="2"/>
      <c r="I61" s="12"/>
      <c r="J61" s="11"/>
      <c r="K61" s="2"/>
      <c r="L61" s="12"/>
      <c r="M61" s="11"/>
      <c r="N61" s="2"/>
      <c r="O61" s="12"/>
      <c r="P61" s="11"/>
      <c r="Q61" s="2"/>
      <c r="R61" s="12"/>
      <c r="S61" s="11"/>
      <c r="T61" s="2"/>
      <c r="U61" s="12"/>
    </row>
    <row r="62" spans="2:21">
      <c r="B62" s="142" t="s">
        <v>14</v>
      </c>
      <c r="C62" s="143"/>
      <c r="D62" s="144">
        <f>(COUNTIF(D58:D61, "X"))/((COUNTA($C$58:$C$61))-(COUNTA(F58:F61)))</f>
        <v>0</v>
      </c>
      <c r="E62" s="145"/>
      <c r="F62" s="146"/>
      <c r="G62" s="144">
        <f>(COUNTIF(G58:G61, "X"))/((COUNTA($C$58:$C$61))-(COUNTA(I58:I61)))</f>
        <v>0</v>
      </c>
      <c r="H62" s="145"/>
      <c r="I62" s="146"/>
      <c r="J62" s="144">
        <f>(COUNTIF(J58:J61, "X"))/((COUNTA($C$58:$C$61))-(COUNTA(L58:L61)))</f>
        <v>0</v>
      </c>
      <c r="K62" s="145"/>
      <c r="L62" s="146"/>
      <c r="M62" s="144">
        <f>(COUNTIF(M58:M61, "X"))/((COUNTA($C$58:$C$61))-(COUNTA(O58:O61)))</f>
        <v>0</v>
      </c>
      <c r="N62" s="145"/>
      <c r="O62" s="146"/>
      <c r="P62" s="144">
        <f>(COUNTIF(P58:P61, "X"))/((COUNTA($C$58:$C$61))-(COUNTA(R58:R61)))</f>
        <v>0</v>
      </c>
      <c r="Q62" s="145"/>
      <c r="R62" s="146"/>
      <c r="S62" s="144">
        <f>(COUNTIF(S58:S61, "X"))/((COUNTA($C$58:$C$61))-(COUNTA(U58:U61)))</f>
        <v>0</v>
      </c>
      <c r="T62" s="145"/>
      <c r="U62" s="146"/>
    </row>
    <row r="63" spans="2:21">
      <c r="B63" s="147" t="s">
        <v>120</v>
      </c>
      <c r="C63" s="148"/>
      <c r="D63" s="78">
        <v>46029</v>
      </c>
      <c r="E63" s="5"/>
      <c r="F63" s="17"/>
      <c r="G63" s="78">
        <v>46041</v>
      </c>
      <c r="H63" s="5"/>
      <c r="I63" s="17"/>
      <c r="J63" s="16"/>
      <c r="K63" s="5"/>
      <c r="L63" s="17"/>
      <c r="M63" s="16"/>
      <c r="N63" s="5"/>
      <c r="O63" s="17"/>
      <c r="P63" s="16"/>
      <c r="Q63" s="5"/>
      <c r="R63" s="17"/>
      <c r="S63" s="16"/>
      <c r="T63" s="5"/>
      <c r="U63" s="17"/>
    </row>
    <row r="64" spans="2:21" ht="15.6">
      <c r="B64" s="11">
        <v>1</v>
      </c>
      <c r="C64" s="72" t="s">
        <v>202</v>
      </c>
      <c r="D64" s="11" t="s">
        <v>72</v>
      </c>
      <c r="E64" s="2"/>
      <c r="F64" s="12"/>
      <c r="G64" s="11" t="s">
        <v>72</v>
      </c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2</v>
      </c>
      <c r="C65" s="72" t="s">
        <v>124</v>
      </c>
      <c r="D65" s="11" t="s">
        <v>72</v>
      </c>
      <c r="E65" s="2"/>
      <c r="F65" s="12"/>
      <c r="G65" s="11" t="s">
        <v>72</v>
      </c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3</v>
      </c>
      <c r="C66" s="72" t="s">
        <v>121</v>
      </c>
      <c r="D66" s="11" t="s">
        <v>72</v>
      </c>
      <c r="E66" s="2"/>
      <c r="F66" s="12"/>
      <c r="G66" s="11" t="s">
        <v>72</v>
      </c>
      <c r="H66" s="2"/>
      <c r="I66" s="12"/>
      <c r="J66" s="11"/>
      <c r="K66" s="2"/>
      <c r="L66" s="12"/>
      <c r="M66" s="11"/>
      <c r="N66" s="2"/>
      <c r="O66" s="12"/>
      <c r="P66" s="11"/>
      <c r="Q66" s="2"/>
      <c r="R66" s="12"/>
      <c r="S66" s="11"/>
      <c r="T66" s="2"/>
      <c r="U66" s="12"/>
    </row>
    <row r="67" spans="2:21" ht="15.6">
      <c r="B67" s="11">
        <v>4</v>
      </c>
      <c r="C67" s="74" t="s">
        <v>122</v>
      </c>
      <c r="D67" s="22" t="s">
        <v>72</v>
      </c>
      <c r="E67" s="23"/>
      <c r="F67" s="24"/>
      <c r="G67" s="22" t="s">
        <v>72</v>
      </c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5</v>
      </c>
      <c r="C68" s="74" t="s">
        <v>116</v>
      </c>
      <c r="D68" s="22" t="s">
        <v>72</v>
      </c>
      <c r="E68" s="23"/>
      <c r="F68" s="24"/>
      <c r="G68" s="22" t="s">
        <v>72</v>
      </c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6</v>
      </c>
      <c r="C69" s="74" t="s">
        <v>203</v>
      </c>
      <c r="D69" s="22" t="s">
        <v>72</v>
      </c>
      <c r="E69" s="23"/>
      <c r="F69" s="24"/>
      <c r="G69" s="22" t="s">
        <v>72</v>
      </c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7</v>
      </c>
      <c r="C70" s="74" t="s">
        <v>117</v>
      </c>
      <c r="D70" s="22" t="s">
        <v>72</v>
      </c>
      <c r="E70" s="23"/>
      <c r="F70" s="24"/>
      <c r="G70" s="22" t="s">
        <v>72</v>
      </c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8</v>
      </c>
      <c r="C71" s="74" t="s">
        <v>123</v>
      </c>
      <c r="D71" s="22" t="s">
        <v>72</v>
      </c>
      <c r="E71" s="23"/>
      <c r="F71" s="24"/>
      <c r="G71" s="22" t="s">
        <v>72</v>
      </c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9</v>
      </c>
      <c r="C72" s="74" t="s">
        <v>210</v>
      </c>
      <c r="D72" s="22" t="s">
        <v>72</v>
      </c>
      <c r="E72" s="23"/>
      <c r="F72" s="24"/>
      <c r="G72" s="22" t="s">
        <v>72</v>
      </c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10</v>
      </c>
      <c r="C73" s="77" t="s">
        <v>184</v>
      </c>
      <c r="D73" s="22" t="s">
        <v>72</v>
      </c>
      <c r="E73" s="23"/>
      <c r="F73" s="24"/>
      <c r="G73" s="22" t="s">
        <v>72</v>
      </c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192</v>
      </c>
      <c r="D74" s="22"/>
      <c r="E74" s="23" t="s">
        <v>72</v>
      </c>
      <c r="F74" s="24"/>
      <c r="G74" s="22" t="s">
        <v>72</v>
      </c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5.6">
      <c r="B75" s="11">
        <v>13</v>
      </c>
      <c r="C75" s="77" t="s">
        <v>145</v>
      </c>
      <c r="D75" s="22" t="s">
        <v>72</v>
      </c>
      <c r="E75" s="23"/>
      <c r="F75" s="24"/>
      <c r="G75" s="22" t="s">
        <v>72</v>
      </c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 ht="16.2" thickBot="1">
      <c r="B76" s="11">
        <v>14</v>
      </c>
      <c r="C76" s="72" t="s">
        <v>170</v>
      </c>
      <c r="D76" s="82" t="s">
        <v>72</v>
      </c>
      <c r="E76" s="23"/>
      <c r="F76" s="24"/>
      <c r="G76" s="22" t="s">
        <v>72</v>
      </c>
      <c r="H76" s="23"/>
      <c r="I76" s="24"/>
      <c r="J76" s="22"/>
      <c r="K76" s="23"/>
      <c r="L76" s="24"/>
      <c r="M76" s="22"/>
      <c r="N76" s="23"/>
      <c r="O76" s="24"/>
      <c r="P76" s="22"/>
      <c r="Q76" s="23"/>
      <c r="R76" s="24"/>
      <c r="S76" s="22"/>
      <c r="T76" s="23"/>
      <c r="U76" s="24"/>
    </row>
    <row r="77" spans="2:21">
      <c r="B77" s="142" t="s">
        <v>14</v>
      </c>
      <c r="C77" s="143"/>
      <c r="D77" s="149">
        <f>(COUNTIF(D64:D76, "X"))/((COUNTA($C$64:$C$76))-(COUNTA(F64:F76)))</f>
        <v>0.92307692307692313</v>
      </c>
      <c r="E77" s="150"/>
      <c r="F77" s="151"/>
      <c r="G77" s="149">
        <f>(COUNTIF(G64:G76, "X"))/((COUNTA($C$64:$C$76))-(COUNTA(I64:I76)))</f>
        <v>1</v>
      </c>
      <c r="H77" s="150"/>
      <c r="I77" s="151"/>
      <c r="J77" s="149">
        <f>(COUNTIF(J64:J76, "X"))/((COUNTA($C$64:$C$76))-(COUNTA(L64:L76)))</f>
        <v>0</v>
      </c>
      <c r="K77" s="150"/>
      <c r="L77" s="151"/>
      <c r="M77" s="149">
        <f>(COUNTIF(M64:M76, "X"))/((COUNTA($C$64:$C$72))-(COUNTA(O64:O76)))</f>
        <v>0</v>
      </c>
      <c r="N77" s="150"/>
      <c r="O77" s="151"/>
      <c r="P77" s="149">
        <f>(COUNTIF(P64:P76, "X"))/((COUNTA($C$64:$C$72))-(COUNTA(R64:R76)))</f>
        <v>0</v>
      </c>
      <c r="Q77" s="150"/>
      <c r="R77" s="151"/>
      <c r="S77" s="149">
        <f>(COUNTIF(S64:S76, "X"))/((COUNTA($C$64:$C$72))-(COUNTA(U64:U76)))</f>
        <v>0</v>
      </c>
      <c r="T77" s="150"/>
      <c r="U77" s="151"/>
    </row>
    <row r="78" spans="2:21" ht="15" thickBot="1">
      <c r="B78" s="147" t="s">
        <v>99</v>
      </c>
      <c r="C78" s="148"/>
      <c r="D78" s="32"/>
      <c r="E78" s="33"/>
      <c r="F78" s="34"/>
      <c r="G78" s="32"/>
      <c r="H78" s="33"/>
      <c r="I78" s="34"/>
      <c r="J78" s="32"/>
      <c r="K78" s="33"/>
      <c r="L78" s="34"/>
      <c r="M78" s="32"/>
      <c r="N78" s="33"/>
      <c r="O78" s="34"/>
      <c r="P78" s="32"/>
      <c r="Q78" s="33"/>
      <c r="R78" s="34"/>
      <c r="S78" s="32"/>
      <c r="T78" s="33"/>
      <c r="U78" s="34"/>
    </row>
    <row r="79" spans="2:21" ht="15.6">
      <c r="B79" s="11">
        <v>1</v>
      </c>
      <c r="C79" s="72" t="s">
        <v>97</v>
      </c>
      <c r="D79" s="29"/>
      <c r="E79" s="30"/>
      <c r="F79" s="31"/>
      <c r="G79" s="29"/>
      <c r="H79" s="30"/>
      <c r="I79" s="31"/>
      <c r="J79" s="29"/>
      <c r="K79" s="30"/>
      <c r="L79" s="31"/>
      <c r="M79" s="29"/>
      <c r="N79" s="30"/>
      <c r="O79" s="31"/>
      <c r="P79" s="29"/>
      <c r="Q79" s="30"/>
      <c r="R79" s="31"/>
      <c r="S79" s="29"/>
      <c r="T79" s="30"/>
      <c r="U79" s="31"/>
    </row>
    <row r="80" spans="2:21" ht="15.6">
      <c r="B80" s="11">
        <v>2</v>
      </c>
      <c r="C80" s="72" t="s">
        <v>211</v>
      </c>
      <c r="D80" s="11"/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3</v>
      </c>
      <c r="C81" s="72" t="s">
        <v>98</v>
      </c>
      <c r="D81" s="11"/>
      <c r="E81" s="2"/>
      <c r="F81" s="12"/>
      <c r="G81" s="11"/>
      <c r="H81" s="2"/>
      <c r="I81" s="12"/>
      <c r="J81" s="11"/>
      <c r="K81" s="2"/>
      <c r="L81" s="12"/>
      <c r="M81" s="11"/>
      <c r="N81" s="2"/>
      <c r="O81" s="12"/>
      <c r="P81" s="11"/>
      <c r="Q81" s="2"/>
      <c r="R81" s="12"/>
      <c r="S81" s="11"/>
      <c r="T81" s="2"/>
      <c r="U81" s="12"/>
    </row>
    <row r="82" spans="2:21" ht="16.2" thickBot="1">
      <c r="B82" s="11">
        <v>4</v>
      </c>
      <c r="C82" s="74" t="s">
        <v>170</v>
      </c>
      <c r="D82" s="22"/>
      <c r="E82" s="23"/>
      <c r="F82" s="24"/>
      <c r="G82" s="22"/>
      <c r="H82" s="23"/>
      <c r="I82" s="24"/>
      <c r="J82" s="22"/>
      <c r="K82" s="23"/>
      <c r="L82" s="24"/>
      <c r="M82" s="22"/>
      <c r="N82" s="23"/>
      <c r="O82" s="24"/>
      <c r="P82" s="22"/>
      <c r="Q82" s="23"/>
      <c r="R82" s="24"/>
      <c r="S82" s="22"/>
      <c r="T82" s="23"/>
      <c r="U82" s="24"/>
    </row>
    <row r="83" spans="2:21" ht="15" thickBot="1">
      <c r="B83" s="152" t="s">
        <v>14</v>
      </c>
      <c r="C83" s="153"/>
      <c r="D83" s="137">
        <f>(COUNTIF(D79:D82, "X"))/((COUNTA($C$79:$C$82))-(COUNTA(F79:F82)))</f>
        <v>0</v>
      </c>
      <c r="E83" s="138"/>
      <c r="F83" s="139"/>
      <c r="G83" s="137">
        <f>(COUNTIF(G79:G82, "X"))/((COUNTA($C$79:$C$82))-(COUNTA(I79:I82)))</f>
        <v>0</v>
      </c>
      <c r="H83" s="138"/>
      <c r="I83" s="139"/>
      <c r="J83" s="137">
        <f>(COUNTIF(J79:J82, "X"))/((COUNTA($C$79:$C$82))-(COUNTA(L79:L82)))</f>
        <v>0</v>
      </c>
      <c r="K83" s="138"/>
      <c r="L83" s="139"/>
      <c r="M83" s="137">
        <f>(COUNTIF(M79:M82, "X"))/((COUNTA($C$79:$C$82))-(COUNTA(O79:O82)))</f>
        <v>0</v>
      </c>
      <c r="N83" s="138"/>
      <c r="O83" s="139"/>
      <c r="P83" s="137">
        <f>(COUNTIF(P79:P82, "X"))/((COUNTA($C$79:$C$82))-(COUNTA(R79:R82)))</f>
        <v>0</v>
      </c>
      <c r="Q83" s="138"/>
      <c r="R83" s="139"/>
      <c r="S83" s="137">
        <f>(COUNTIF(S79:S82, "X"))/((COUNTA($C$79:$C$82))-(COUNTA(U79:U82)))</f>
        <v>0</v>
      </c>
      <c r="T83" s="138"/>
      <c r="U83" s="139"/>
    </row>
    <row r="84" spans="2:21" ht="14.4" customHeight="1">
      <c r="B84" s="97" t="s">
        <v>188</v>
      </c>
      <c r="C84" s="97" t="s">
        <v>103</v>
      </c>
      <c r="D84" s="80">
        <v>45671</v>
      </c>
      <c r="E84" s="26"/>
      <c r="F84" s="27"/>
      <c r="G84" s="80">
        <v>46050</v>
      </c>
      <c r="H84" s="26"/>
      <c r="I84" s="27"/>
      <c r="J84" s="80"/>
      <c r="K84" s="26"/>
      <c r="L84" s="27"/>
      <c r="M84" s="25"/>
      <c r="N84" s="26"/>
      <c r="O84" s="27"/>
      <c r="P84" s="25"/>
      <c r="Q84" s="26"/>
      <c r="R84" s="27"/>
      <c r="S84" s="25"/>
      <c r="T84" s="26"/>
      <c r="U84" s="27"/>
    </row>
    <row r="85" spans="2:21" ht="15.6">
      <c r="B85" s="11">
        <v>1</v>
      </c>
      <c r="C85" s="72" t="s">
        <v>83</v>
      </c>
      <c r="D85" s="11" t="s">
        <v>72</v>
      </c>
      <c r="E85" s="2"/>
      <c r="F85" s="12"/>
      <c r="G85" s="11" t="s">
        <v>72</v>
      </c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2</v>
      </c>
      <c r="C86" s="72" t="s">
        <v>107</v>
      </c>
      <c r="D86" s="11" t="s">
        <v>72</v>
      </c>
      <c r="E86" s="2"/>
      <c r="F86" s="12"/>
      <c r="G86" s="11" t="s">
        <v>72</v>
      </c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3</v>
      </c>
      <c r="C87" s="72" t="s">
        <v>104</v>
      </c>
      <c r="D87" s="11" t="s">
        <v>72</v>
      </c>
      <c r="E87" s="2"/>
      <c r="F87" s="12"/>
      <c r="G87" s="11" t="s">
        <v>72</v>
      </c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4</v>
      </c>
      <c r="C88" s="72" t="s">
        <v>105</v>
      </c>
      <c r="D88" s="11" t="s">
        <v>72</v>
      </c>
      <c r="E88" s="2"/>
      <c r="F88" s="12"/>
      <c r="G88" s="11" t="s">
        <v>72</v>
      </c>
      <c r="H88" s="2"/>
      <c r="I88" s="12"/>
      <c r="J88" s="11"/>
      <c r="K88" s="2"/>
      <c r="L88" s="12"/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5</v>
      </c>
      <c r="C89" s="72" t="s">
        <v>194</v>
      </c>
      <c r="D89" s="11" t="s">
        <v>72</v>
      </c>
      <c r="E89" s="2"/>
      <c r="F89" s="12"/>
      <c r="G89" s="11" t="s">
        <v>72</v>
      </c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6</v>
      </c>
      <c r="C90" s="72" t="s">
        <v>212</v>
      </c>
      <c r="D90" s="11" t="s">
        <v>72</v>
      </c>
      <c r="E90" s="2"/>
      <c r="F90" s="12"/>
      <c r="G90" s="93" t="s">
        <v>72</v>
      </c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7</v>
      </c>
      <c r="C91" s="72" t="s">
        <v>106</v>
      </c>
      <c r="D91" s="11"/>
      <c r="E91" s="2" t="s">
        <v>72</v>
      </c>
      <c r="F91" s="12"/>
      <c r="G91" s="11" t="s">
        <v>72</v>
      </c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8</v>
      </c>
      <c r="C92" s="72" t="s">
        <v>161</v>
      </c>
      <c r="D92" s="11" t="s">
        <v>72</v>
      </c>
      <c r="E92" s="2"/>
      <c r="F92" s="12"/>
      <c r="G92" s="11"/>
      <c r="H92" s="2" t="s">
        <v>72</v>
      </c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9</v>
      </c>
      <c r="C93" s="72" t="s">
        <v>88</v>
      </c>
      <c r="D93" s="11" t="s">
        <v>72</v>
      </c>
      <c r="E93" s="2"/>
      <c r="F93" s="12"/>
      <c r="G93" s="11" t="s">
        <v>72</v>
      </c>
      <c r="H93" s="2"/>
      <c r="I93" s="12"/>
      <c r="J93" s="11"/>
      <c r="K93" s="2"/>
      <c r="L93" s="12"/>
      <c r="M93" s="11"/>
      <c r="N93" s="2"/>
      <c r="O93" s="12"/>
      <c r="P93" s="11"/>
      <c r="Q93" s="2"/>
      <c r="R93" s="12"/>
      <c r="S93" s="11"/>
      <c r="T93" s="2"/>
      <c r="U93" s="12"/>
    </row>
    <row r="94" spans="2:21" ht="15.6">
      <c r="B94" s="11">
        <v>10</v>
      </c>
      <c r="C94" s="72" t="s">
        <v>150</v>
      </c>
      <c r="D94" s="11"/>
      <c r="E94" s="2" t="s">
        <v>72</v>
      </c>
      <c r="F94" s="12"/>
      <c r="G94" s="11"/>
      <c r="H94" s="2" t="s">
        <v>72</v>
      </c>
      <c r="I94" s="12"/>
      <c r="J94" s="11"/>
      <c r="K94" s="2"/>
      <c r="L94" s="12"/>
      <c r="M94" s="11"/>
      <c r="N94" s="2"/>
      <c r="O94" s="12"/>
      <c r="P94" s="11"/>
      <c r="Q94" s="2"/>
      <c r="R94" s="12"/>
      <c r="S94" s="11"/>
      <c r="T94" s="2"/>
      <c r="U94" s="12"/>
    </row>
    <row r="95" spans="2:21" ht="15.6">
      <c r="B95" s="11">
        <v>11</v>
      </c>
      <c r="C95" s="72" t="s">
        <v>195</v>
      </c>
      <c r="D95" s="11" t="s">
        <v>72</v>
      </c>
      <c r="E95" s="2"/>
      <c r="F95" s="12"/>
      <c r="G95" s="11" t="s">
        <v>72</v>
      </c>
      <c r="H95" s="2"/>
      <c r="I95" s="12"/>
      <c r="J95" s="11"/>
      <c r="K95" s="2"/>
      <c r="L95" s="12"/>
      <c r="M95" s="11"/>
      <c r="N95" s="2"/>
      <c r="O95" s="12"/>
      <c r="P95" s="11"/>
      <c r="Q95" s="2"/>
      <c r="R95" s="12"/>
      <c r="S95" s="11"/>
      <c r="T95" s="2"/>
      <c r="U95" s="12"/>
    </row>
    <row r="96" spans="2:21" ht="15.6">
      <c r="B96" s="11">
        <v>12</v>
      </c>
      <c r="C96" s="72" t="s">
        <v>192</v>
      </c>
      <c r="D96" s="11" t="s">
        <v>72</v>
      </c>
      <c r="E96" s="2"/>
      <c r="F96" s="12"/>
      <c r="G96" s="11" t="s">
        <v>72</v>
      </c>
      <c r="H96" s="2"/>
      <c r="I96" s="12"/>
      <c r="J96" s="11"/>
      <c r="K96" s="2"/>
      <c r="L96" s="12"/>
      <c r="M96" s="11"/>
      <c r="N96" s="2"/>
      <c r="O96" s="12"/>
      <c r="P96" s="11"/>
      <c r="Q96" s="2"/>
      <c r="R96" s="12"/>
      <c r="S96" s="11"/>
      <c r="T96" s="2"/>
      <c r="U96" s="12"/>
    </row>
    <row r="97" spans="2:21" ht="15.6">
      <c r="B97" s="11">
        <v>13</v>
      </c>
      <c r="C97" s="72" t="s">
        <v>184</v>
      </c>
      <c r="D97" s="22" t="s">
        <v>72</v>
      </c>
      <c r="E97" s="23"/>
      <c r="F97" s="24"/>
      <c r="G97" s="22" t="s">
        <v>72</v>
      </c>
      <c r="H97" s="23"/>
      <c r="I97" s="24"/>
      <c r="J97" s="22"/>
      <c r="K97" s="23"/>
      <c r="L97" s="24"/>
      <c r="M97" s="22"/>
      <c r="N97" s="23"/>
      <c r="O97" s="24"/>
      <c r="P97" s="22"/>
      <c r="Q97" s="23"/>
      <c r="R97" s="24"/>
      <c r="S97" s="22"/>
      <c r="T97" s="23"/>
      <c r="U97" s="24"/>
    </row>
    <row r="98" spans="2:21" ht="15.6">
      <c r="B98" s="11"/>
      <c r="C98" s="72" t="s">
        <v>230</v>
      </c>
      <c r="D98" s="22"/>
      <c r="E98" s="23"/>
      <c r="F98" s="24"/>
      <c r="G98" s="22" t="s">
        <v>72</v>
      </c>
      <c r="H98" s="23"/>
      <c r="I98" s="24"/>
      <c r="J98" s="22"/>
      <c r="K98" s="23"/>
      <c r="L98" s="24"/>
      <c r="M98" s="22"/>
      <c r="N98" s="23"/>
      <c r="O98" s="24"/>
      <c r="P98" s="22"/>
      <c r="Q98" s="23"/>
      <c r="R98" s="24"/>
      <c r="S98" s="22"/>
      <c r="T98" s="23"/>
      <c r="U98" s="24"/>
    </row>
    <row r="99" spans="2:21" ht="15.6">
      <c r="B99" s="11">
        <v>14</v>
      </c>
      <c r="C99" s="72" t="s">
        <v>149</v>
      </c>
      <c r="D99" s="22"/>
      <c r="E99" s="23" t="s">
        <v>72</v>
      </c>
      <c r="F99" s="24"/>
      <c r="G99" s="22"/>
      <c r="H99" s="23" t="s">
        <v>72</v>
      </c>
      <c r="I99" s="24"/>
      <c r="J99" s="22"/>
      <c r="K99" s="23"/>
      <c r="L99" s="24"/>
      <c r="M99" s="22"/>
      <c r="N99" s="23"/>
      <c r="O99" s="24"/>
      <c r="P99" s="22"/>
      <c r="Q99" s="23"/>
      <c r="R99" s="24"/>
      <c r="S99" s="22"/>
      <c r="T99" s="23"/>
      <c r="U99" s="24"/>
    </row>
    <row r="100" spans="2:21" ht="16.2" thickBot="1">
      <c r="B100" s="11">
        <v>15</v>
      </c>
      <c r="C100" s="72" t="s">
        <v>170</v>
      </c>
      <c r="D100" s="22" t="s">
        <v>72</v>
      </c>
      <c r="E100" s="23"/>
      <c r="F100" s="24"/>
      <c r="G100" s="22"/>
      <c r="H100" s="23" t="s">
        <v>72</v>
      </c>
      <c r="I100" s="24"/>
      <c r="J100" s="22"/>
      <c r="K100" s="23"/>
      <c r="L100" s="24"/>
      <c r="M100" s="22"/>
      <c r="N100" s="23"/>
      <c r="O100" s="24"/>
      <c r="P100" s="22"/>
      <c r="Q100" s="23"/>
      <c r="R100" s="24"/>
      <c r="S100" s="22"/>
      <c r="T100" s="23"/>
      <c r="U100" s="24"/>
    </row>
    <row r="101" spans="2:21" ht="15" thickBot="1">
      <c r="B101" s="142" t="s">
        <v>14</v>
      </c>
      <c r="C101" s="143"/>
      <c r="D101" s="137">
        <f>(COUNTIF(D85:D100, "X"))/((COUNTA($C$85:$C$100))-(COUNTA(F85:F100)))</f>
        <v>0.75</v>
      </c>
      <c r="E101" s="138"/>
      <c r="F101" s="139"/>
      <c r="G101" s="137">
        <f>(COUNTIF(G85:G100, "X"))/((COUNTA($C$85:$C$100))-(COUNTA(I85:I100)))</f>
        <v>0.75</v>
      </c>
      <c r="H101" s="138"/>
      <c r="I101" s="139"/>
      <c r="J101" s="137">
        <f>(COUNTIF(J85:J100, "X"))/((COUNTA($C$85:$C$100))-(COUNTA(L85:L100)))</f>
        <v>0</v>
      </c>
      <c r="K101" s="138"/>
      <c r="L101" s="139"/>
      <c r="M101" s="137">
        <f>(COUNTIF(M85:M100, "X"))/((COUNTA($C$23:$C$37))-(COUNTA(O85:O100)))</f>
        <v>0</v>
      </c>
      <c r="N101" s="138"/>
      <c r="O101" s="139"/>
      <c r="P101" s="137">
        <f>(COUNTIF(P85:P100, "X"))/((COUNTA($C$23:$C$37))-(COUNTA(R85:R100)))</f>
        <v>0</v>
      </c>
      <c r="Q101" s="138"/>
      <c r="R101" s="139"/>
      <c r="S101" s="137">
        <f>(COUNTIF(S85:S100, "X"))/((COUNTA($C$23:$C$37))-(COUNTA(U85:U100)))</f>
        <v>0</v>
      </c>
      <c r="T101" s="138"/>
      <c r="U101" s="139"/>
    </row>
    <row r="102" spans="2:21" ht="14.4" customHeight="1">
      <c r="B102" s="94" t="s">
        <v>188</v>
      </c>
      <c r="C102" s="94" t="s">
        <v>118</v>
      </c>
      <c r="D102" s="78">
        <v>46030</v>
      </c>
      <c r="E102" s="5"/>
      <c r="F102" s="17"/>
      <c r="G102" s="78">
        <v>46043</v>
      </c>
      <c r="H102" s="5"/>
      <c r="I102" s="17"/>
      <c r="J102" s="16"/>
      <c r="K102" s="5"/>
      <c r="L102" s="17"/>
      <c r="M102" s="16"/>
      <c r="N102" s="5"/>
      <c r="O102" s="17"/>
      <c r="P102" s="16"/>
      <c r="Q102" s="5"/>
      <c r="R102" s="17"/>
      <c r="S102" s="16"/>
      <c r="T102" s="5"/>
      <c r="U102" s="17"/>
    </row>
    <row r="103" spans="2:21" ht="15.6">
      <c r="B103" s="11">
        <v>1</v>
      </c>
      <c r="C103" s="72" t="s">
        <v>205</v>
      </c>
      <c r="D103" s="11" t="s">
        <v>72</v>
      </c>
      <c r="E103" s="2"/>
      <c r="F103" s="12"/>
      <c r="G103" s="11" t="s">
        <v>72</v>
      </c>
      <c r="H103" s="2"/>
      <c r="I103" s="12"/>
      <c r="J103" s="11"/>
      <c r="K103" s="2"/>
      <c r="L103" s="12"/>
      <c r="M103" s="11"/>
      <c r="N103" s="2"/>
      <c r="O103" s="12"/>
      <c r="P103" s="11"/>
      <c r="Q103" s="2"/>
      <c r="R103" s="12"/>
      <c r="S103" s="11"/>
      <c r="T103" s="2"/>
      <c r="U103" s="12"/>
    </row>
    <row r="104" spans="2:21" ht="15.6">
      <c r="B104" s="11">
        <v>2</v>
      </c>
      <c r="C104" s="72" t="s">
        <v>206</v>
      </c>
      <c r="D104" s="11" t="s">
        <v>72</v>
      </c>
      <c r="E104" s="2"/>
      <c r="F104" s="12"/>
      <c r="G104" s="11" t="s">
        <v>72</v>
      </c>
      <c r="H104" s="2"/>
      <c r="I104" s="12"/>
      <c r="J104" s="11"/>
      <c r="K104" s="2"/>
      <c r="L104" s="12"/>
      <c r="M104" s="11"/>
      <c r="N104" s="2"/>
      <c r="O104" s="12"/>
      <c r="P104" s="11"/>
      <c r="Q104" s="2"/>
      <c r="R104" s="12"/>
      <c r="S104" s="11"/>
      <c r="T104" s="2"/>
      <c r="U104" s="12"/>
    </row>
    <row r="105" spans="2:21" ht="15.6">
      <c r="B105" s="11">
        <v>3</v>
      </c>
      <c r="C105" s="72" t="s">
        <v>96</v>
      </c>
      <c r="D105" s="11" t="s">
        <v>72</v>
      </c>
      <c r="E105" s="2"/>
      <c r="F105" s="12"/>
      <c r="G105" s="11"/>
      <c r="H105" s="2" t="s">
        <v>72</v>
      </c>
      <c r="I105" s="12"/>
      <c r="J105" s="11"/>
      <c r="K105" s="2"/>
      <c r="L105" s="12"/>
      <c r="M105" s="11"/>
      <c r="N105" s="2"/>
      <c r="O105" s="12"/>
      <c r="P105" s="11"/>
      <c r="Q105" s="2"/>
      <c r="R105" s="12"/>
      <c r="S105" s="11"/>
      <c r="T105" s="2"/>
      <c r="U105" s="12"/>
    </row>
    <row r="106" spans="2:21" ht="15.6">
      <c r="B106" s="11">
        <v>4</v>
      </c>
      <c r="C106" s="74" t="s">
        <v>226</v>
      </c>
      <c r="D106" s="22" t="s">
        <v>72</v>
      </c>
      <c r="E106" s="23"/>
      <c r="F106" s="24"/>
      <c r="G106" s="22" t="s">
        <v>72</v>
      </c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5.6">
      <c r="B107" s="11">
        <v>5</v>
      </c>
      <c r="C107" s="74" t="s">
        <v>227</v>
      </c>
      <c r="D107" s="22" t="s">
        <v>72</v>
      </c>
      <c r="E107" s="23"/>
      <c r="F107" s="24"/>
      <c r="G107" s="22" t="s">
        <v>72</v>
      </c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 ht="15.6">
      <c r="B108" s="11">
        <v>6</v>
      </c>
      <c r="C108" s="74" t="s">
        <v>125</v>
      </c>
      <c r="D108" s="22" t="s">
        <v>72</v>
      </c>
      <c r="E108" s="23"/>
      <c r="F108" s="24"/>
      <c r="G108" s="22" t="s">
        <v>72</v>
      </c>
      <c r="H108" s="23"/>
      <c r="I108" s="24"/>
      <c r="J108" s="22"/>
      <c r="K108" s="23"/>
      <c r="L108" s="24"/>
      <c r="M108" s="22"/>
      <c r="N108" s="23"/>
      <c r="O108" s="24"/>
      <c r="P108" s="22"/>
      <c r="Q108" s="23"/>
      <c r="R108" s="24"/>
      <c r="S108" s="22"/>
      <c r="T108" s="23"/>
      <c r="U108" s="24"/>
    </row>
    <row r="109" spans="2:21" ht="15.6">
      <c r="B109" s="11">
        <v>7</v>
      </c>
      <c r="C109" s="74" t="s">
        <v>119</v>
      </c>
      <c r="D109" s="22" t="s">
        <v>72</v>
      </c>
      <c r="E109" s="23"/>
      <c r="F109" s="24"/>
      <c r="G109" s="22" t="s">
        <v>72</v>
      </c>
      <c r="H109" s="23"/>
      <c r="I109" s="24"/>
      <c r="J109" s="22"/>
      <c r="K109" s="23"/>
      <c r="L109" s="24"/>
      <c r="M109" s="22"/>
      <c r="N109" s="23"/>
      <c r="O109" s="24"/>
      <c r="P109" s="22"/>
      <c r="Q109" s="23"/>
      <c r="R109" s="24"/>
      <c r="S109" s="22"/>
      <c r="T109" s="23"/>
      <c r="U109" s="24"/>
    </row>
    <row r="110" spans="2:21" ht="15.6">
      <c r="B110" s="11">
        <v>8</v>
      </c>
      <c r="C110" s="74" t="s">
        <v>224</v>
      </c>
      <c r="D110" s="22" t="s">
        <v>72</v>
      </c>
      <c r="E110" s="23"/>
      <c r="F110" s="24"/>
      <c r="G110" s="22" t="s">
        <v>72</v>
      </c>
      <c r="H110" s="23"/>
      <c r="I110" s="24"/>
      <c r="J110" s="22"/>
      <c r="K110" s="23"/>
      <c r="L110" s="24"/>
      <c r="M110" s="22"/>
      <c r="N110" s="23"/>
      <c r="O110" s="24"/>
      <c r="P110" s="22"/>
      <c r="Q110" s="23"/>
      <c r="R110" s="24"/>
      <c r="S110" s="22"/>
      <c r="T110" s="23"/>
      <c r="U110" s="24"/>
    </row>
    <row r="111" spans="2:21" ht="15.6">
      <c r="B111" s="11">
        <v>9</v>
      </c>
      <c r="C111" s="74" t="s">
        <v>207</v>
      </c>
      <c r="D111" s="22" t="s">
        <v>72</v>
      </c>
      <c r="E111" s="23"/>
      <c r="F111" s="24"/>
      <c r="G111" s="22" t="s">
        <v>72</v>
      </c>
      <c r="H111" s="23"/>
      <c r="I111" s="24"/>
      <c r="J111" s="22"/>
      <c r="K111" s="23"/>
      <c r="L111" s="24"/>
      <c r="M111" s="22"/>
      <c r="N111" s="23"/>
      <c r="O111" s="24"/>
      <c r="P111" s="22"/>
      <c r="Q111" s="23"/>
      <c r="R111" s="24"/>
      <c r="S111" s="22"/>
      <c r="T111" s="23"/>
      <c r="U111" s="24"/>
    </row>
    <row r="112" spans="2:21" ht="15.6">
      <c r="B112" s="11">
        <v>10</v>
      </c>
      <c r="C112" s="74" t="s">
        <v>225</v>
      </c>
      <c r="D112" s="22" t="s">
        <v>72</v>
      </c>
      <c r="E112" s="23"/>
      <c r="F112" s="24"/>
      <c r="G112" s="22" t="s">
        <v>72</v>
      </c>
      <c r="H112" s="23"/>
      <c r="I112" s="24"/>
      <c r="J112" s="22"/>
      <c r="K112" s="23"/>
      <c r="L112" s="24"/>
      <c r="M112" s="22"/>
      <c r="N112" s="23"/>
      <c r="O112" s="24"/>
      <c r="P112" s="22"/>
      <c r="Q112" s="23"/>
      <c r="R112" s="24"/>
      <c r="S112" s="22"/>
      <c r="T112" s="23"/>
      <c r="U112" s="24"/>
    </row>
    <row r="113" spans="2:21" ht="15.6">
      <c r="B113" s="11">
        <v>11</v>
      </c>
      <c r="C113" s="74" t="s">
        <v>208</v>
      </c>
      <c r="D113" s="22" t="s">
        <v>72</v>
      </c>
      <c r="E113" s="23"/>
      <c r="F113" s="24"/>
      <c r="G113" s="22" t="s">
        <v>72</v>
      </c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12</v>
      </c>
      <c r="C114" s="74" t="s">
        <v>223</v>
      </c>
      <c r="D114" s="22"/>
      <c r="E114" s="23" t="s">
        <v>72</v>
      </c>
      <c r="F114" s="24"/>
      <c r="G114" s="22" t="s">
        <v>72</v>
      </c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6.2" thickBot="1">
      <c r="B115" s="11">
        <v>13</v>
      </c>
      <c r="C115" s="74" t="s">
        <v>180</v>
      </c>
      <c r="D115" s="22"/>
      <c r="E115" s="23" t="s">
        <v>72</v>
      </c>
      <c r="F115" s="24"/>
      <c r="G115" s="22" t="s">
        <v>72</v>
      </c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>
      <c r="B116" s="142" t="s">
        <v>14</v>
      </c>
      <c r="C116" s="143"/>
      <c r="D116" s="149">
        <f>(COUNTIF(D103:D115, "X"))/((COUNTA($C$103:$C$115))-(COUNTA(F103:F115)))</f>
        <v>0.84615384615384615</v>
      </c>
      <c r="E116" s="150"/>
      <c r="F116" s="151"/>
      <c r="G116" s="149">
        <f>(COUNTIF(G103:G115, "X"))/((COUNTA($C$103:$C$115))-(COUNTA(I103:I115)))</f>
        <v>0.92307692307692313</v>
      </c>
      <c r="H116" s="150"/>
      <c r="I116" s="151"/>
      <c r="J116" s="149">
        <f>(COUNTIF(J103:J115, "X"))/((COUNTA($C$64:$C$72))-(COUNTA(L103:L115)))</f>
        <v>0</v>
      </c>
      <c r="K116" s="150"/>
      <c r="L116" s="151"/>
      <c r="M116" s="149">
        <f>(COUNTIF(M103:M115, "X"))/((COUNTA($C$64:$C$72))-(COUNTA(O103:O115)))</f>
        <v>0</v>
      </c>
      <c r="N116" s="150"/>
      <c r="O116" s="151"/>
      <c r="P116" s="149">
        <f>(COUNTIF(P103:P115, "X"))/((COUNTA($C$64:$C$72))-(COUNTA(R103:R115)))</f>
        <v>0</v>
      </c>
      <c r="Q116" s="150"/>
      <c r="R116" s="151"/>
      <c r="S116" s="149">
        <f>(COUNTIF(S103:S115, "X"))/((COUNTA($C$64:$C$72))-(COUNTA(U103:U115)))</f>
        <v>0</v>
      </c>
      <c r="T116" s="150"/>
      <c r="U116" s="151"/>
    </row>
  </sheetData>
  <mergeCells count="64">
    <mergeCell ref="S3:U4"/>
    <mergeCell ref="B5:C5"/>
    <mergeCell ref="B21:C21"/>
    <mergeCell ref="D21:F21"/>
    <mergeCell ref="G21:I21"/>
    <mergeCell ref="J21:L21"/>
    <mergeCell ref="M21:O21"/>
    <mergeCell ref="P21:R21"/>
    <mergeCell ref="S21:U21"/>
    <mergeCell ref="B3:C4"/>
    <mergeCell ref="E3:F4"/>
    <mergeCell ref="H3:I4"/>
    <mergeCell ref="K3:L4"/>
    <mergeCell ref="N3:O4"/>
    <mergeCell ref="Q3:R4"/>
    <mergeCell ref="B57:C57"/>
    <mergeCell ref="B38:C38"/>
    <mergeCell ref="D38:F38"/>
    <mergeCell ref="G38:I38"/>
    <mergeCell ref="J38:L38"/>
    <mergeCell ref="S38:U38"/>
    <mergeCell ref="J56:L56"/>
    <mergeCell ref="M56:O56"/>
    <mergeCell ref="P56:R56"/>
    <mergeCell ref="S56:U56"/>
    <mergeCell ref="M38:O38"/>
    <mergeCell ref="P38:R38"/>
    <mergeCell ref="S62:U62"/>
    <mergeCell ref="B63:C63"/>
    <mergeCell ref="B77:C77"/>
    <mergeCell ref="D77:F77"/>
    <mergeCell ref="G77:I77"/>
    <mergeCell ref="J77:L77"/>
    <mergeCell ref="M77:O77"/>
    <mergeCell ref="P77:R77"/>
    <mergeCell ref="S77:U77"/>
    <mergeCell ref="B62:C62"/>
    <mergeCell ref="D62:F62"/>
    <mergeCell ref="G62:I62"/>
    <mergeCell ref="J62:L62"/>
    <mergeCell ref="M62:O62"/>
    <mergeCell ref="P62:R62"/>
    <mergeCell ref="B78:C78"/>
    <mergeCell ref="B83:C83"/>
    <mergeCell ref="D83:F83"/>
    <mergeCell ref="G83:I83"/>
    <mergeCell ref="J83:L83"/>
    <mergeCell ref="P83:R83"/>
    <mergeCell ref="S83:U83"/>
    <mergeCell ref="B101:C101"/>
    <mergeCell ref="D101:F101"/>
    <mergeCell ref="G101:I101"/>
    <mergeCell ref="J101:L101"/>
    <mergeCell ref="M101:O101"/>
    <mergeCell ref="P101:R101"/>
    <mergeCell ref="S101:U101"/>
    <mergeCell ref="M83:O83"/>
    <mergeCell ref="S116:U116"/>
    <mergeCell ref="B116:C116"/>
    <mergeCell ref="D116:F116"/>
    <mergeCell ref="G116:I116"/>
    <mergeCell ref="J116:L116"/>
    <mergeCell ref="M116:O116"/>
    <mergeCell ref="P116:R1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15AB-3B38-4702-B982-6ED25DB90D7B}">
  <dimension ref="B1:X120"/>
  <sheetViews>
    <sheetView showGridLines="0" zoomScale="99" zoomScaleNormal="90" workbookViewId="0">
      <pane xSplit="3" ySplit="5" topLeftCell="D45" activePane="bottomRight" state="frozen"/>
      <selection pane="topRight" activeCell="D1" sqref="D1"/>
      <selection pane="bottomLeft" activeCell="A7" sqref="A7"/>
      <selection pane="bottomRight" activeCell="K13" sqref="K13"/>
    </sheetView>
  </sheetViews>
  <sheetFormatPr baseColWidth="10" defaultRowHeight="14.4"/>
  <cols>
    <col min="1" max="1" width="3.88671875" customWidth="1"/>
    <col min="2" max="2" width="3.33203125" style="1" customWidth="1"/>
    <col min="3" max="3" width="58.77734375" customWidth="1"/>
    <col min="4" max="5" width="11.6640625" customWidth="1"/>
    <col min="6" max="6" width="10.5546875" bestFit="1" customWidth="1"/>
    <col min="7" max="7" width="11.6640625" bestFit="1" customWidth="1"/>
    <col min="8" max="9" width="11.5546875" customWidth="1"/>
    <col min="10" max="10" width="10.5546875" customWidth="1"/>
    <col min="11" max="12" width="11.5546875" customWidth="1"/>
    <col min="13" max="13" width="10.5546875" customWidth="1"/>
    <col min="14" max="15" width="11.5546875" customWidth="1"/>
    <col min="16" max="16" width="10.5546875" customWidth="1"/>
    <col min="17" max="18" width="11.5546875" customWidth="1"/>
    <col min="19" max="19" width="10.5546875" customWidth="1"/>
    <col min="20" max="21" width="11.5546875" customWidth="1"/>
  </cols>
  <sheetData>
    <row r="1" spans="2:24" ht="15" thickBot="1"/>
    <row r="2" spans="2:24">
      <c r="B2" s="117" t="s">
        <v>43</v>
      </c>
      <c r="C2" s="118"/>
      <c r="D2" s="64" t="s">
        <v>0</v>
      </c>
      <c r="E2" s="169">
        <v>45923</v>
      </c>
      <c r="F2" s="170"/>
      <c r="G2" s="64" t="s">
        <v>0</v>
      </c>
      <c r="H2" s="169">
        <v>45924</v>
      </c>
      <c r="I2" s="170"/>
      <c r="J2" s="64" t="s">
        <v>0</v>
      </c>
      <c r="K2" s="169">
        <f t="shared" ref="K2" si="0">H2+1</f>
        <v>45925</v>
      </c>
      <c r="L2" s="170"/>
      <c r="M2" s="64" t="s">
        <v>0</v>
      </c>
      <c r="N2" s="169">
        <f t="shared" ref="N2" si="1">K2+1</f>
        <v>45926</v>
      </c>
      <c r="O2" s="170"/>
      <c r="P2" s="64" t="s">
        <v>0</v>
      </c>
      <c r="Q2" s="169">
        <f t="shared" ref="Q2" si="2">N2+1</f>
        <v>45927</v>
      </c>
      <c r="R2" s="170"/>
      <c r="S2" s="158" t="s">
        <v>100</v>
      </c>
      <c r="T2" s="159"/>
      <c r="U2" s="160"/>
    </row>
    <row r="3" spans="2:24">
      <c r="B3" s="119"/>
      <c r="C3" s="120"/>
      <c r="D3" s="11" t="s">
        <v>1</v>
      </c>
      <c r="E3" s="171"/>
      <c r="F3" s="172"/>
      <c r="G3" s="11" t="s">
        <v>1</v>
      </c>
      <c r="H3" s="171"/>
      <c r="I3" s="172"/>
      <c r="J3" s="11" t="s">
        <v>1</v>
      </c>
      <c r="K3" s="171">
        <v>45916</v>
      </c>
      <c r="L3" s="172"/>
      <c r="M3" s="11" t="s">
        <v>1</v>
      </c>
      <c r="N3" s="171">
        <v>45916</v>
      </c>
      <c r="O3" s="172"/>
      <c r="P3" s="11" t="s">
        <v>1</v>
      </c>
      <c r="Q3" s="171">
        <v>45916</v>
      </c>
      <c r="R3" s="172"/>
      <c r="S3" s="161"/>
      <c r="T3" s="162"/>
      <c r="U3" s="163"/>
    </row>
    <row r="4" spans="2:24">
      <c r="B4" s="131" t="s">
        <v>131</v>
      </c>
      <c r="C4" s="132"/>
      <c r="D4" s="13" t="s">
        <v>2</v>
      </c>
      <c r="E4" s="3" t="s">
        <v>3</v>
      </c>
      <c r="F4" s="65" t="s">
        <v>4</v>
      </c>
      <c r="G4" s="13" t="s">
        <v>2</v>
      </c>
      <c r="H4" s="3" t="s">
        <v>3</v>
      </c>
      <c r="I4" s="65" t="s">
        <v>4</v>
      </c>
      <c r="J4" s="13" t="s">
        <v>2</v>
      </c>
      <c r="K4" s="3" t="s">
        <v>3</v>
      </c>
      <c r="L4" s="65" t="s">
        <v>4</v>
      </c>
      <c r="M4" s="13" t="s">
        <v>2</v>
      </c>
      <c r="N4" s="3" t="s">
        <v>3</v>
      </c>
      <c r="O4" s="65" t="s">
        <v>4</v>
      </c>
      <c r="P4" s="13" t="s">
        <v>2</v>
      </c>
      <c r="Q4" s="3" t="s">
        <v>3</v>
      </c>
      <c r="R4" s="65" t="s">
        <v>4</v>
      </c>
      <c r="S4" s="13" t="s">
        <v>2</v>
      </c>
      <c r="T4" s="3" t="s">
        <v>3</v>
      </c>
      <c r="U4" s="65" t="s">
        <v>4</v>
      </c>
    </row>
    <row r="5" spans="2:24" ht="19.95" customHeight="1">
      <c r="B5" s="80" t="s">
        <v>188</v>
      </c>
      <c r="C5" s="94" t="s">
        <v>129</v>
      </c>
      <c r="D5" s="79">
        <v>46036</v>
      </c>
      <c r="E5" s="4"/>
      <c r="F5" s="15"/>
      <c r="G5" s="79">
        <v>46051</v>
      </c>
      <c r="H5" s="4"/>
      <c r="I5" s="15"/>
      <c r="J5" s="14"/>
      <c r="K5" s="4"/>
      <c r="L5" s="15"/>
      <c r="M5" s="14"/>
      <c r="N5" s="4"/>
      <c r="O5" s="15"/>
      <c r="P5" s="14"/>
      <c r="Q5" s="4"/>
      <c r="R5" s="15"/>
      <c r="S5" s="14"/>
      <c r="T5" s="4"/>
      <c r="U5" s="15"/>
      <c r="W5" t="s">
        <v>101</v>
      </c>
      <c r="X5" s="75"/>
    </row>
    <row r="6" spans="2:24" ht="16.95" customHeight="1">
      <c r="B6" s="11">
        <v>1</v>
      </c>
      <c r="C6" s="72" t="s">
        <v>127</v>
      </c>
      <c r="D6" s="11" t="s">
        <v>72</v>
      </c>
      <c r="E6" s="2"/>
      <c r="F6" s="12"/>
      <c r="G6" s="11" t="s">
        <v>72</v>
      </c>
      <c r="H6" s="2"/>
      <c r="I6" s="12"/>
      <c r="J6" s="11"/>
      <c r="K6" s="2"/>
      <c r="L6" s="12"/>
      <c r="M6" s="11"/>
      <c r="N6" s="2"/>
      <c r="O6" s="12"/>
      <c r="P6" s="11"/>
      <c r="Q6" s="2"/>
      <c r="R6" s="12"/>
      <c r="S6" s="11"/>
      <c r="T6" s="2"/>
      <c r="U6" s="12"/>
      <c r="W6" t="s">
        <v>102</v>
      </c>
      <c r="X6" s="76"/>
    </row>
    <row r="7" spans="2:24" ht="16.95" customHeight="1">
      <c r="B7" s="11">
        <v>2</v>
      </c>
      <c r="C7" s="72" t="s">
        <v>182</v>
      </c>
      <c r="D7" s="11" t="s">
        <v>72</v>
      </c>
      <c r="E7" s="2"/>
      <c r="F7" s="12"/>
      <c r="G7" s="11" t="s">
        <v>72</v>
      </c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</row>
    <row r="8" spans="2:24" ht="16.95" customHeight="1">
      <c r="B8" s="11">
        <v>3</v>
      </c>
      <c r="C8" s="72" t="s">
        <v>183</v>
      </c>
      <c r="D8" s="11" t="s">
        <v>72</v>
      </c>
      <c r="E8" s="2"/>
      <c r="F8" s="12"/>
      <c r="G8" s="11" t="s">
        <v>72</v>
      </c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6.95" customHeight="1">
      <c r="B9" s="11">
        <v>4</v>
      </c>
      <c r="C9" s="74" t="s">
        <v>126</v>
      </c>
      <c r="D9" s="11" t="s">
        <v>72</v>
      </c>
      <c r="E9" s="2"/>
      <c r="F9" s="12"/>
      <c r="G9" s="11" t="s">
        <v>72</v>
      </c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6.95" customHeight="1">
      <c r="B10" s="11">
        <v>5</v>
      </c>
      <c r="C10" s="74" t="s">
        <v>140</v>
      </c>
      <c r="D10" s="11" t="s">
        <v>72</v>
      </c>
      <c r="E10" s="2"/>
      <c r="F10" s="12"/>
      <c r="G10" s="11" t="s">
        <v>72</v>
      </c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6.95" customHeight="1">
      <c r="B11" s="11">
        <v>6</v>
      </c>
      <c r="C11" s="74" t="s">
        <v>184</v>
      </c>
      <c r="D11" s="11" t="s">
        <v>72</v>
      </c>
      <c r="E11" s="2"/>
      <c r="F11" s="12"/>
      <c r="G11" s="11" t="s">
        <v>72</v>
      </c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6.95" customHeight="1">
      <c r="B12" s="11">
        <v>7</v>
      </c>
      <c r="C12" s="74" t="s">
        <v>185</v>
      </c>
      <c r="D12" s="11" t="s">
        <v>72</v>
      </c>
      <c r="E12" s="2"/>
      <c r="F12" s="12"/>
      <c r="G12" s="11" t="s">
        <v>72</v>
      </c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6.95" customHeight="1">
      <c r="B13" s="11">
        <v>8</v>
      </c>
      <c r="C13" s="74" t="s">
        <v>186</v>
      </c>
      <c r="D13" s="11" t="s">
        <v>72</v>
      </c>
      <c r="E13" s="2"/>
      <c r="F13" s="12"/>
      <c r="G13" s="11" t="s">
        <v>72</v>
      </c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</row>
    <row r="14" spans="2:24" ht="16.95" customHeight="1">
      <c r="B14" s="11">
        <v>9</v>
      </c>
      <c r="C14" s="74" t="s">
        <v>128</v>
      </c>
      <c r="D14" s="11" t="s">
        <v>72</v>
      </c>
      <c r="E14" s="2"/>
      <c r="F14" s="12"/>
      <c r="G14" s="11" t="s">
        <v>72</v>
      </c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</row>
    <row r="15" spans="2:24" ht="16.95" customHeight="1">
      <c r="B15" s="11">
        <v>10</v>
      </c>
      <c r="C15" s="74" t="s">
        <v>165</v>
      </c>
      <c r="D15" s="22"/>
      <c r="E15" s="23"/>
      <c r="F15" s="24" t="s">
        <v>72</v>
      </c>
      <c r="G15" s="22"/>
      <c r="H15" s="23"/>
      <c r="I15" s="24" t="s">
        <v>72</v>
      </c>
      <c r="J15" s="22"/>
      <c r="K15" s="23"/>
      <c r="L15" s="24"/>
      <c r="M15" s="22"/>
      <c r="N15" s="23"/>
      <c r="O15" s="24"/>
      <c r="P15" s="22"/>
      <c r="Q15" s="23"/>
      <c r="R15" s="24"/>
      <c r="S15" s="22"/>
      <c r="T15" s="23"/>
      <c r="U15" s="24"/>
    </row>
    <row r="16" spans="2:24" ht="16.95" customHeight="1" thickBot="1">
      <c r="B16" s="11">
        <v>11</v>
      </c>
      <c r="C16" s="74" t="s">
        <v>180</v>
      </c>
      <c r="D16" s="22" t="s">
        <v>72</v>
      </c>
      <c r="E16" s="23"/>
      <c r="F16" s="24"/>
      <c r="G16" s="22" t="s">
        <v>72</v>
      </c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6.95" customHeight="1" thickBot="1">
      <c r="B17" s="135" t="s">
        <v>14</v>
      </c>
      <c r="C17" s="136"/>
      <c r="D17" s="137">
        <f>(COUNTIF(D6:D16, "X"))/((COUNTA($C$6:$C$16))-(COUNTA(F6:F16)))</f>
        <v>1</v>
      </c>
      <c r="E17" s="138"/>
      <c r="F17" s="139"/>
      <c r="G17" s="137">
        <f>(COUNTIF(G6:G16, "X"))/((COUNTA($C$6:$C$16))-(COUNTA(I6:I16)))</f>
        <v>1</v>
      </c>
      <c r="H17" s="138"/>
      <c r="I17" s="139"/>
      <c r="J17" s="137">
        <f>(COUNTIF(J6:J16, "X"))/((COUNTA($C$6:$C$16))-(COUNTA(L6:L16)))</f>
        <v>0</v>
      </c>
      <c r="K17" s="138"/>
      <c r="L17" s="139"/>
      <c r="M17" s="137">
        <f>(COUNTIF(M6:M16, "X"))/((COUNTA($C$6:$C$16))-(COUNTA(O6:O16)))</f>
        <v>0</v>
      </c>
      <c r="N17" s="138"/>
      <c r="O17" s="139"/>
      <c r="P17" s="137">
        <f>(COUNTIF(P6:P16, "X"))/((COUNTA($C$6:$C$16))-(COUNTA(R6:R16)))</f>
        <v>0</v>
      </c>
      <c r="Q17" s="138"/>
      <c r="R17" s="139"/>
      <c r="S17" s="137">
        <f>(COUNTIF(S6:S16, "X"))/((COUNTA($C$6:$C$16))-(COUNTA(U6:U16)))</f>
        <v>0</v>
      </c>
      <c r="T17" s="138"/>
      <c r="U17" s="139"/>
    </row>
    <row r="18" spans="2:21" ht="14.4" customHeight="1">
      <c r="B18" s="95" t="s">
        <v>188</v>
      </c>
      <c r="C18" s="95" t="s">
        <v>130</v>
      </c>
      <c r="D18" s="80">
        <v>46032</v>
      </c>
      <c r="E18" s="26"/>
      <c r="F18" s="27"/>
      <c r="G18" s="80">
        <v>46049</v>
      </c>
      <c r="H18" s="26"/>
      <c r="I18" s="27"/>
      <c r="J18" s="25"/>
      <c r="K18" s="26"/>
      <c r="L18" s="27"/>
      <c r="M18" s="25"/>
      <c r="N18" s="26"/>
      <c r="O18" s="27"/>
      <c r="P18" s="25"/>
      <c r="Q18" s="26"/>
      <c r="R18" s="27"/>
      <c r="S18" s="25"/>
      <c r="T18" s="26"/>
      <c r="U18" s="27"/>
    </row>
    <row r="19" spans="2:21" ht="15.6">
      <c r="B19" s="11">
        <v>1</v>
      </c>
      <c r="C19" s="72" t="s">
        <v>127</v>
      </c>
      <c r="D19" s="11" t="s">
        <v>72</v>
      </c>
      <c r="E19" s="2"/>
      <c r="F19" s="12"/>
      <c r="G19" s="11" t="s">
        <v>72</v>
      </c>
      <c r="H19" s="2"/>
      <c r="I19" s="12"/>
      <c r="J19" s="11"/>
      <c r="K19" s="2"/>
      <c r="L19" s="12"/>
      <c r="M19" s="11"/>
      <c r="N19" s="2"/>
      <c r="O19" s="12"/>
      <c r="P19" s="11"/>
      <c r="Q19" s="2"/>
      <c r="R19" s="12"/>
      <c r="S19" s="11"/>
      <c r="T19" s="2"/>
      <c r="U19" s="12"/>
    </row>
    <row r="20" spans="2:21" ht="15.6">
      <c r="B20" s="11">
        <v>2</v>
      </c>
      <c r="C20" s="72" t="s">
        <v>182</v>
      </c>
      <c r="D20" s="11"/>
      <c r="E20" s="2" t="s">
        <v>72</v>
      </c>
      <c r="F20" s="12"/>
      <c r="G20" s="11" t="s">
        <v>72</v>
      </c>
      <c r="H20" s="2"/>
      <c r="I20" s="12"/>
      <c r="J20" s="11"/>
      <c r="K20" s="2"/>
      <c r="L20" s="12"/>
      <c r="M20" s="11"/>
      <c r="N20" s="2"/>
      <c r="O20" s="12"/>
      <c r="P20" s="11"/>
      <c r="Q20" s="2"/>
      <c r="R20" s="12"/>
      <c r="S20" s="11"/>
      <c r="T20" s="2"/>
      <c r="U20" s="12"/>
    </row>
    <row r="21" spans="2:21" ht="15.6">
      <c r="B21" s="11">
        <v>3</v>
      </c>
      <c r="C21" s="72" t="s">
        <v>183</v>
      </c>
      <c r="D21" s="11" t="s">
        <v>72</v>
      </c>
      <c r="E21" s="2"/>
      <c r="F21" s="12"/>
      <c r="G21" s="11" t="s">
        <v>72</v>
      </c>
      <c r="H21" s="2"/>
      <c r="I21" s="12"/>
      <c r="J21" s="11"/>
      <c r="K21" s="2"/>
      <c r="L21" s="12"/>
      <c r="M21" s="11"/>
      <c r="N21" s="2"/>
      <c r="O21" s="12"/>
      <c r="P21" s="11"/>
      <c r="Q21" s="2"/>
      <c r="R21" s="12"/>
      <c r="S21" s="11"/>
      <c r="T21" s="2"/>
      <c r="U21" s="12"/>
    </row>
    <row r="22" spans="2:21" ht="15.6">
      <c r="B22" s="11">
        <v>4</v>
      </c>
      <c r="C22" s="74" t="s">
        <v>126</v>
      </c>
      <c r="D22" s="11" t="s">
        <v>72</v>
      </c>
      <c r="E22" s="2"/>
      <c r="F22" s="12"/>
      <c r="G22" s="11" t="s">
        <v>72</v>
      </c>
      <c r="H22" s="2"/>
      <c r="I22" s="12"/>
      <c r="J22" s="11"/>
      <c r="K22" s="2"/>
      <c r="L22" s="12"/>
      <c r="M22" s="11"/>
      <c r="N22" s="2"/>
      <c r="O22" s="12"/>
      <c r="P22" s="11"/>
      <c r="Q22" s="2"/>
      <c r="R22" s="12"/>
      <c r="S22" s="11"/>
      <c r="T22" s="2"/>
      <c r="U22" s="12"/>
    </row>
    <row r="23" spans="2:21" ht="15.6">
      <c r="B23" s="11">
        <v>5</v>
      </c>
      <c r="C23" s="74" t="s">
        <v>140</v>
      </c>
      <c r="D23" s="11" t="s">
        <v>72</v>
      </c>
      <c r="E23" s="2"/>
      <c r="F23" s="12"/>
      <c r="G23" s="11" t="s">
        <v>72</v>
      </c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11">
        <v>6</v>
      </c>
      <c r="C24" s="74" t="s">
        <v>184</v>
      </c>
      <c r="D24" s="11"/>
      <c r="E24" s="2"/>
      <c r="F24" s="12" t="s">
        <v>72</v>
      </c>
      <c r="G24" s="11"/>
      <c r="H24" s="2"/>
      <c r="I24" s="12" t="s">
        <v>72</v>
      </c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11">
        <v>7</v>
      </c>
      <c r="C25" s="74" t="s">
        <v>185</v>
      </c>
      <c r="D25" s="11" t="s">
        <v>72</v>
      </c>
      <c r="E25" s="2"/>
      <c r="F25" s="12"/>
      <c r="G25" s="11" t="s">
        <v>72</v>
      </c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11">
        <v>8</v>
      </c>
      <c r="C26" s="74" t="s">
        <v>186</v>
      </c>
      <c r="D26" s="11" t="s">
        <v>72</v>
      </c>
      <c r="E26" s="2"/>
      <c r="F26" s="12"/>
      <c r="G26" s="11" t="s">
        <v>72</v>
      </c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11">
        <v>9</v>
      </c>
      <c r="C27" s="74" t="s">
        <v>128</v>
      </c>
      <c r="D27" s="11" t="s">
        <v>72</v>
      </c>
      <c r="E27" s="2"/>
      <c r="F27" s="12"/>
      <c r="G27" s="11" t="s">
        <v>72</v>
      </c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11">
        <v>10</v>
      </c>
      <c r="C28" s="74" t="s">
        <v>180</v>
      </c>
      <c r="D28" s="22" t="s">
        <v>72</v>
      </c>
      <c r="E28" s="23"/>
      <c r="F28" s="12"/>
      <c r="G28" s="11" t="s">
        <v>72</v>
      </c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11">
        <v>11</v>
      </c>
      <c r="C29" s="74" t="s">
        <v>165</v>
      </c>
      <c r="D29" s="22" t="s">
        <v>72</v>
      </c>
      <c r="E29" s="23"/>
      <c r="F29" s="12"/>
      <c r="G29" s="11" t="s">
        <v>72</v>
      </c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11">
        <v>12</v>
      </c>
      <c r="C30" s="74" t="s">
        <v>151</v>
      </c>
      <c r="D30" s="22" t="s">
        <v>72</v>
      </c>
      <c r="E30" s="23"/>
      <c r="F30" s="12"/>
      <c r="G30" s="11" t="s">
        <v>72</v>
      </c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6.2" thickBot="1">
      <c r="B31" s="11">
        <v>13</v>
      </c>
      <c r="C31" s="71" t="s">
        <v>187</v>
      </c>
      <c r="D31" s="22" t="s">
        <v>72</v>
      </c>
      <c r="E31" s="23"/>
      <c r="F31" s="12"/>
      <c r="G31" s="11" t="s">
        <v>72</v>
      </c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" thickBot="1">
      <c r="B32" s="142" t="s">
        <v>14</v>
      </c>
      <c r="C32" s="143"/>
      <c r="D32" s="137">
        <f>(COUNTIF(D19:D31, "X"))/((COUNTA($C$19:$C$31))-(COUNTA(F19:F31)))</f>
        <v>0.91666666666666663</v>
      </c>
      <c r="E32" s="138"/>
      <c r="F32" s="139"/>
      <c r="G32" s="137">
        <f>(COUNTIF(G19:G31, "X"))/((COUNTA($C$19:$C$31))-(COUNTA(I19:I31)))</f>
        <v>1</v>
      </c>
      <c r="H32" s="138"/>
      <c r="I32" s="139"/>
      <c r="J32" s="137">
        <f>(COUNTIF(J19:J31, "X"))/((COUNTA($C$19:$C$31))-(COUNTA(L19:L31)))</f>
        <v>0</v>
      </c>
      <c r="K32" s="138"/>
      <c r="L32" s="139"/>
      <c r="M32" s="137">
        <f>(COUNTIF(M19:M31, "X"))/((COUNTA($C$19:$C$31))-(COUNTA(O19:O31)))</f>
        <v>0</v>
      </c>
      <c r="N32" s="138"/>
      <c r="O32" s="139"/>
      <c r="P32" s="137">
        <f>(COUNTIF(P19:P31, "X"))/((COUNTA($C$19:$C$31))-(COUNTA(R19:R31)))</f>
        <v>0</v>
      </c>
      <c r="Q32" s="138"/>
      <c r="R32" s="139"/>
      <c r="S32" s="137">
        <f>(COUNTIF(S19:S31, "X"))/((COUNTA($C$19:$C$31))-(COUNTA(U19:U31)))</f>
        <v>0</v>
      </c>
      <c r="T32" s="138"/>
      <c r="U32" s="139"/>
    </row>
    <row r="33" spans="2:21" ht="14.4" customHeight="1">
      <c r="B33" s="94" t="s">
        <v>188</v>
      </c>
      <c r="C33" s="94" t="s">
        <v>132</v>
      </c>
      <c r="D33" s="80">
        <v>46037</v>
      </c>
      <c r="E33" s="28"/>
      <c r="F33" s="27"/>
      <c r="G33" s="25"/>
      <c r="H33" s="28"/>
      <c r="I33" s="27"/>
      <c r="J33" s="25"/>
      <c r="K33" s="28"/>
      <c r="L33" s="27"/>
      <c r="M33" s="25"/>
      <c r="N33" s="28"/>
      <c r="O33" s="27"/>
      <c r="P33" s="25"/>
      <c r="Q33" s="28"/>
      <c r="R33" s="27"/>
      <c r="S33" s="25"/>
      <c r="T33" s="28"/>
      <c r="U33" s="27"/>
    </row>
    <row r="34" spans="2:21" ht="15.6">
      <c r="B34" s="11">
        <v>1</v>
      </c>
      <c r="C34" s="72" t="s">
        <v>127</v>
      </c>
      <c r="D34" s="11" t="s">
        <v>72</v>
      </c>
      <c r="E34" s="2"/>
      <c r="F34" s="12"/>
      <c r="G34" s="11"/>
      <c r="H34" s="2"/>
      <c r="I34" s="12"/>
      <c r="J34" s="11"/>
      <c r="K34" s="2"/>
      <c r="L34" s="12"/>
      <c r="M34" s="11"/>
      <c r="N34" s="2"/>
      <c r="O34" s="12"/>
      <c r="P34" s="11"/>
      <c r="Q34" s="2"/>
      <c r="R34" s="12"/>
      <c r="S34" s="11"/>
      <c r="T34" s="2"/>
      <c r="U34" s="12"/>
    </row>
    <row r="35" spans="2:21" ht="15.6">
      <c r="B35" s="11">
        <v>2</v>
      </c>
      <c r="C35" s="72" t="s">
        <v>182</v>
      </c>
      <c r="D35" s="11" t="s">
        <v>72</v>
      </c>
      <c r="E35" s="2"/>
      <c r="F35" s="12"/>
      <c r="G35" s="11"/>
      <c r="H35" s="2"/>
      <c r="I35" s="12"/>
      <c r="J35" s="11"/>
      <c r="K35" s="2"/>
      <c r="L35" s="12"/>
      <c r="M35" s="11"/>
      <c r="N35" s="2"/>
      <c r="O35" s="12"/>
      <c r="P35" s="11"/>
      <c r="Q35" s="2"/>
      <c r="R35" s="12"/>
      <c r="S35" s="11"/>
      <c r="T35" s="2"/>
      <c r="U35" s="12"/>
    </row>
    <row r="36" spans="2:21" ht="15.6">
      <c r="B36" s="11">
        <v>3</v>
      </c>
      <c r="C36" s="72" t="s">
        <v>133</v>
      </c>
      <c r="D36" s="93" t="s">
        <v>72</v>
      </c>
      <c r="E36" s="2"/>
      <c r="F36" s="12"/>
      <c r="G36" s="11"/>
      <c r="H36" s="2"/>
      <c r="I36" s="12"/>
      <c r="J36" s="11"/>
      <c r="K36" s="2"/>
      <c r="L36" s="12"/>
      <c r="M36" s="11"/>
      <c r="N36" s="2"/>
      <c r="O36" s="12"/>
      <c r="P36" s="11"/>
      <c r="Q36" s="2"/>
      <c r="R36" s="12"/>
      <c r="S36" s="11"/>
      <c r="T36" s="2"/>
      <c r="U36" s="12"/>
    </row>
    <row r="37" spans="2:21" ht="15.6">
      <c r="B37" s="11">
        <v>4</v>
      </c>
      <c r="C37" s="74" t="s">
        <v>126</v>
      </c>
      <c r="D37" s="11"/>
      <c r="E37" s="2" t="s">
        <v>72</v>
      </c>
      <c r="F37" s="12"/>
      <c r="G37" s="11"/>
      <c r="H37" s="2"/>
      <c r="I37" s="12"/>
      <c r="J37" s="11"/>
      <c r="K37" s="2"/>
      <c r="L37" s="12"/>
      <c r="M37" s="11"/>
      <c r="N37" s="2"/>
      <c r="O37" s="12"/>
      <c r="P37" s="11"/>
      <c r="Q37" s="2"/>
      <c r="R37" s="12"/>
      <c r="S37" s="11"/>
      <c r="T37" s="2"/>
      <c r="U37" s="12"/>
    </row>
    <row r="38" spans="2:21" ht="15.6">
      <c r="B38" s="11">
        <v>5</v>
      </c>
      <c r="C38" s="74" t="s">
        <v>219</v>
      </c>
      <c r="D38" s="11" t="s">
        <v>72</v>
      </c>
      <c r="E38" s="2"/>
      <c r="F38" s="12"/>
      <c r="G38" s="11"/>
      <c r="H38" s="2"/>
      <c r="I38" s="12"/>
      <c r="J38" s="11"/>
      <c r="K38" s="2"/>
      <c r="L38" s="12"/>
      <c r="M38" s="11"/>
      <c r="N38" s="2"/>
      <c r="O38" s="12"/>
      <c r="P38" s="11"/>
      <c r="Q38" s="2"/>
      <c r="R38" s="12"/>
      <c r="S38" s="11"/>
      <c r="T38" s="2"/>
      <c r="U38" s="12"/>
    </row>
    <row r="39" spans="2:21" ht="15.6">
      <c r="B39" s="11">
        <v>6</v>
      </c>
      <c r="C39" s="74" t="s">
        <v>173</v>
      </c>
      <c r="D39" s="11" t="s">
        <v>72</v>
      </c>
      <c r="E39" s="23"/>
      <c r="F39" s="24"/>
      <c r="G39" s="22"/>
      <c r="H39" s="23"/>
      <c r="I39" s="24"/>
      <c r="J39" s="22"/>
      <c r="K39" s="23"/>
      <c r="L39" s="24"/>
      <c r="M39" s="22"/>
      <c r="N39" s="23"/>
      <c r="O39" s="24"/>
      <c r="P39" s="22"/>
      <c r="Q39" s="23"/>
      <c r="R39" s="24"/>
      <c r="S39" s="22"/>
      <c r="T39" s="23"/>
      <c r="U39" s="24"/>
    </row>
    <row r="40" spans="2:21" ht="15.6">
      <c r="B40" s="11">
        <v>7</v>
      </c>
      <c r="C40" s="74" t="s">
        <v>185</v>
      </c>
      <c r="D40" s="11" t="s">
        <v>72</v>
      </c>
      <c r="E40" s="23"/>
      <c r="F40" s="24"/>
      <c r="G40" s="22"/>
      <c r="H40" s="23"/>
      <c r="I40" s="24"/>
      <c r="J40" s="22"/>
      <c r="K40" s="23"/>
      <c r="L40" s="24"/>
      <c r="M40" s="22"/>
      <c r="N40" s="23"/>
      <c r="O40" s="24"/>
      <c r="P40" s="22"/>
      <c r="Q40" s="23"/>
      <c r="R40" s="24"/>
      <c r="S40" s="22"/>
      <c r="T40" s="23"/>
      <c r="U40" s="24"/>
    </row>
    <row r="41" spans="2:21" ht="15.6">
      <c r="B41" s="11">
        <v>8</v>
      </c>
      <c r="C41" s="74" t="s">
        <v>186</v>
      </c>
      <c r="D41" s="11" t="s">
        <v>72</v>
      </c>
      <c r="E41" s="23"/>
      <c r="F41" s="24"/>
      <c r="G41" s="22"/>
      <c r="H41" s="23"/>
      <c r="I41" s="24"/>
      <c r="J41" s="22"/>
      <c r="K41" s="23"/>
      <c r="L41" s="24"/>
      <c r="M41" s="22"/>
      <c r="N41" s="23"/>
      <c r="O41" s="24"/>
      <c r="P41" s="22"/>
      <c r="Q41" s="23"/>
      <c r="R41" s="24"/>
      <c r="S41" s="22"/>
      <c r="T41" s="23"/>
      <c r="U41" s="24"/>
    </row>
    <row r="42" spans="2:21" ht="15.6">
      <c r="B42" s="11">
        <v>9</v>
      </c>
      <c r="C42" s="74" t="s">
        <v>128</v>
      </c>
      <c r="D42" s="11" t="s">
        <v>72</v>
      </c>
      <c r="E42" s="23"/>
      <c r="F42" s="24"/>
      <c r="G42" s="22"/>
      <c r="H42" s="23"/>
      <c r="I42" s="24"/>
      <c r="J42" s="22"/>
      <c r="K42" s="23"/>
      <c r="L42" s="24"/>
      <c r="M42" s="22"/>
      <c r="N42" s="23"/>
      <c r="O42" s="24"/>
      <c r="P42" s="22"/>
      <c r="Q42" s="23"/>
      <c r="R42" s="24"/>
      <c r="S42" s="22"/>
      <c r="T42" s="23"/>
      <c r="U42" s="24"/>
    </row>
    <row r="43" spans="2:21" ht="15.6">
      <c r="B43" s="11">
        <v>10</v>
      </c>
      <c r="C43" s="74" t="s">
        <v>163</v>
      </c>
      <c r="D43" s="11"/>
      <c r="E43" s="23" t="s">
        <v>72</v>
      </c>
      <c r="F43" s="24"/>
      <c r="G43" s="22"/>
      <c r="H43" s="23"/>
      <c r="I43" s="24"/>
      <c r="J43" s="22"/>
      <c r="K43" s="23"/>
      <c r="L43" s="24"/>
      <c r="M43" s="22"/>
      <c r="N43" s="23"/>
      <c r="O43" s="24"/>
      <c r="P43" s="22"/>
      <c r="Q43" s="23"/>
      <c r="R43" s="24"/>
      <c r="S43" s="22"/>
      <c r="T43" s="23"/>
      <c r="U43" s="24"/>
    </row>
    <row r="44" spans="2:21" ht="15.6">
      <c r="B44" s="11">
        <v>11</v>
      </c>
      <c r="C44" s="71" t="s">
        <v>164</v>
      </c>
      <c r="D44" s="93" t="s">
        <v>72</v>
      </c>
      <c r="E44" s="23"/>
      <c r="F44" s="24"/>
      <c r="G44" s="22"/>
      <c r="H44" s="23"/>
      <c r="I44" s="24"/>
      <c r="J44" s="22"/>
      <c r="K44" s="23"/>
      <c r="L44" s="24"/>
      <c r="M44" s="22"/>
      <c r="N44" s="23"/>
      <c r="O44" s="24"/>
      <c r="P44" s="22"/>
      <c r="Q44" s="23"/>
      <c r="R44" s="24"/>
      <c r="S44" s="22"/>
      <c r="T44" s="23"/>
      <c r="U44" s="24"/>
    </row>
    <row r="45" spans="2:21" ht="15.6">
      <c r="B45" s="11">
        <v>12</v>
      </c>
      <c r="C45" s="74" t="s">
        <v>165</v>
      </c>
      <c r="D45" s="11"/>
      <c r="E45" s="23"/>
      <c r="F45" s="24" t="s">
        <v>72</v>
      </c>
      <c r="G45" s="22"/>
      <c r="H45" s="23"/>
      <c r="I45" s="24"/>
      <c r="J45" s="22"/>
      <c r="K45" s="23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13</v>
      </c>
      <c r="C46" s="74" t="s">
        <v>135</v>
      </c>
      <c r="D46" s="11" t="s">
        <v>72</v>
      </c>
      <c r="E46" s="23"/>
      <c r="F46" s="24"/>
      <c r="G46" s="22"/>
      <c r="H46" s="23"/>
      <c r="I46" s="24"/>
      <c r="J46" s="22"/>
      <c r="K46" s="23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14</v>
      </c>
      <c r="C47" s="74" t="s">
        <v>136</v>
      </c>
      <c r="D47" s="11" t="s">
        <v>72</v>
      </c>
      <c r="E47" s="23"/>
      <c r="F47" s="24"/>
      <c r="G47" s="22"/>
      <c r="H47" s="23"/>
      <c r="I47" s="24"/>
      <c r="J47" s="22"/>
      <c r="K47" s="23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6.2" thickBot="1">
      <c r="B48" s="11">
        <v>15</v>
      </c>
      <c r="C48" s="71" t="s">
        <v>134</v>
      </c>
      <c r="D48" s="11"/>
      <c r="E48" s="23" t="s">
        <v>72</v>
      </c>
      <c r="F48" s="24"/>
      <c r="G48" s="22"/>
      <c r="H48" s="23"/>
      <c r="I48" s="24"/>
      <c r="J48" s="22"/>
      <c r="K48" s="23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" thickBot="1">
      <c r="B49" s="142" t="s">
        <v>14</v>
      </c>
      <c r="C49" s="143"/>
      <c r="D49" s="137">
        <f>(COUNTIF(D34:D48, "X"))/((COUNTA($C$34:$C$48))-(COUNTA(F34:F48)))</f>
        <v>0.7857142857142857</v>
      </c>
      <c r="E49" s="138"/>
      <c r="F49" s="139"/>
      <c r="G49" s="137">
        <f>(COUNTIF(G34:G48, "X"))/((COUNTA($C$34:$C$48))-(COUNTA(I34:I48)))</f>
        <v>0</v>
      </c>
      <c r="H49" s="138"/>
      <c r="I49" s="139"/>
      <c r="J49" s="137">
        <f>(COUNTIF(J34:J48, "X"))/((COUNTA($C$34:$C$48))-(COUNTA(L34:L48)))</f>
        <v>0</v>
      </c>
      <c r="K49" s="138"/>
      <c r="L49" s="139"/>
      <c r="M49" s="137">
        <f>(COUNTIF(M34:M48, "X"))/((COUNTA($C$34:$C$48))-(COUNTA(O34:O48)))</f>
        <v>0</v>
      </c>
      <c r="N49" s="138"/>
      <c r="O49" s="139"/>
      <c r="P49" s="137">
        <f>(COUNTIF(P34:P48, "X"))/((COUNTA($C$34:$C$48))-(COUNTA(R34:R48)))</f>
        <v>0</v>
      </c>
      <c r="Q49" s="138"/>
      <c r="R49" s="139"/>
      <c r="S49" s="137">
        <f>(COUNTIF(S34:S48, "X"))/((COUNTA($C$34:$C$48))-(COUNTA(U34:U48)))</f>
        <v>0</v>
      </c>
      <c r="T49" s="138"/>
      <c r="U49" s="139"/>
    </row>
    <row r="50" spans="2:21">
      <c r="B50" s="147" t="s">
        <v>141</v>
      </c>
      <c r="C50" s="148"/>
      <c r="D50" s="80">
        <v>46038</v>
      </c>
      <c r="E50" s="28"/>
      <c r="F50" s="27"/>
      <c r="G50" s="80">
        <v>46052</v>
      </c>
      <c r="H50" s="81"/>
      <c r="I50" s="27"/>
      <c r="J50" s="25"/>
      <c r="K50" s="28"/>
      <c r="L50" s="27"/>
      <c r="M50" s="25"/>
      <c r="N50" s="28"/>
      <c r="O50" s="27"/>
      <c r="P50" s="25"/>
      <c r="Q50" s="28"/>
      <c r="R50" s="27"/>
      <c r="S50" s="25"/>
      <c r="T50" s="28"/>
      <c r="U50" s="27"/>
    </row>
    <row r="51" spans="2:21" ht="15.6">
      <c r="B51" s="11">
        <v>1</v>
      </c>
      <c r="C51" s="72" t="s">
        <v>137</v>
      </c>
      <c r="D51" s="11" t="s">
        <v>72</v>
      </c>
      <c r="E51" s="2"/>
      <c r="F51" s="12"/>
      <c r="G51" s="11" t="s">
        <v>72</v>
      </c>
      <c r="H51" s="2"/>
      <c r="I51" s="12"/>
      <c r="J51" s="11"/>
      <c r="K51" s="2"/>
      <c r="L51" s="12"/>
      <c r="M51" s="11"/>
      <c r="N51" s="2"/>
      <c r="O51" s="12"/>
      <c r="P51" s="11"/>
      <c r="Q51" s="2"/>
      <c r="R51" s="12"/>
      <c r="S51" s="11"/>
      <c r="T51" s="2"/>
      <c r="U51" s="12"/>
    </row>
    <row r="52" spans="2:21" ht="15.6">
      <c r="B52" s="11">
        <v>2</v>
      </c>
      <c r="C52" s="72" t="s">
        <v>139</v>
      </c>
      <c r="D52" s="11" t="s">
        <v>72</v>
      </c>
      <c r="E52" s="2"/>
      <c r="F52" s="12"/>
      <c r="G52" s="11" t="s">
        <v>72</v>
      </c>
      <c r="H52" s="2"/>
      <c r="I52" s="12"/>
      <c r="J52" s="11"/>
      <c r="K52" s="2"/>
      <c r="L52" s="12"/>
      <c r="M52" s="11"/>
      <c r="N52" s="2"/>
      <c r="O52" s="12"/>
      <c r="P52" s="11"/>
      <c r="Q52" s="2"/>
      <c r="R52" s="12"/>
      <c r="S52" s="11"/>
      <c r="T52" s="2"/>
      <c r="U52" s="12"/>
    </row>
    <row r="53" spans="2:21" ht="15.6">
      <c r="B53" s="11">
        <v>3</v>
      </c>
      <c r="C53" s="72" t="s">
        <v>166</v>
      </c>
      <c r="D53" s="11"/>
      <c r="E53" s="2" t="s">
        <v>72</v>
      </c>
      <c r="F53" s="12"/>
      <c r="G53" s="11"/>
      <c r="H53" s="2" t="s">
        <v>72</v>
      </c>
      <c r="I53" s="12"/>
      <c r="J53" s="11"/>
      <c r="K53" s="2"/>
      <c r="L53" s="12"/>
      <c r="M53" s="11"/>
      <c r="N53" s="2"/>
      <c r="O53" s="12"/>
      <c r="P53" s="11"/>
      <c r="Q53" s="2"/>
      <c r="R53" s="12"/>
      <c r="S53" s="11"/>
      <c r="T53" s="2"/>
      <c r="U53" s="12"/>
    </row>
    <row r="54" spans="2:21" ht="15.6">
      <c r="B54" s="11">
        <v>4</v>
      </c>
      <c r="C54" s="74" t="s">
        <v>167</v>
      </c>
      <c r="D54" s="11" t="s">
        <v>72</v>
      </c>
      <c r="E54" s="2"/>
      <c r="F54" s="12"/>
      <c r="G54" s="11" t="s">
        <v>72</v>
      </c>
      <c r="H54" s="2"/>
      <c r="I54" s="12"/>
      <c r="J54" s="11"/>
      <c r="K54" s="2"/>
      <c r="L54" s="12"/>
      <c r="M54" s="11"/>
      <c r="N54" s="2"/>
      <c r="O54" s="12"/>
      <c r="P54" s="11"/>
      <c r="Q54" s="2"/>
      <c r="R54" s="12"/>
      <c r="S54" s="11"/>
      <c r="T54" s="2"/>
      <c r="U54" s="12"/>
    </row>
    <row r="55" spans="2:21" ht="15.6">
      <c r="B55" s="11">
        <v>5</v>
      </c>
      <c r="C55" s="74" t="s">
        <v>168</v>
      </c>
      <c r="D55" s="11" t="s">
        <v>72</v>
      </c>
      <c r="E55" s="2"/>
      <c r="F55" s="12"/>
      <c r="G55" s="11" t="s">
        <v>72</v>
      </c>
      <c r="H55" s="2"/>
      <c r="I55" s="12"/>
      <c r="J55" s="11"/>
      <c r="K55" s="2"/>
      <c r="L55" s="12"/>
      <c r="M55" s="11"/>
      <c r="N55" s="2"/>
      <c r="O55" s="12"/>
      <c r="P55" s="11"/>
      <c r="Q55" s="2"/>
      <c r="R55" s="12"/>
      <c r="S55" s="11"/>
      <c r="T55" s="2"/>
      <c r="U55" s="12"/>
    </row>
    <row r="56" spans="2:21" ht="15.6">
      <c r="B56" s="11">
        <v>6</v>
      </c>
      <c r="C56" s="74" t="s">
        <v>169</v>
      </c>
      <c r="D56" s="11" t="s">
        <v>72</v>
      </c>
      <c r="E56" s="2"/>
      <c r="F56" s="12"/>
      <c r="G56" s="11" t="s">
        <v>72</v>
      </c>
      <c r="H56" s="2"/>
      <c r="I56" s="12"/>
      <c r="J56" s="11"/>
      <c r="K56" s="2"/>
      <c r="L56" s="12"/>
      <c r="M56" s="11"/>
      <c r="N56" s="2"/>
      <c r="O56" s="12"/>
      <c r="P56" s="11"/>
      <c r="Q56" s="2"/>
      <c r="R56" s="12"/>
      <c r="S56" s="11"/>
      <c r="T56" s="2"/>
      <c r="U56" s="12"/>
    </row>
    <row r="57" spans="2:21" ht="15.6">
      <c r="B57" s="11">
        <v>7</v>
      </c>
      <c r="C57" s="74" t="s">
        <v>170</v>
      </c>
      <c r="D57" s="11" t="s">
        <v>72</v>
      </c>
      <c r="E57" s="2"/>
      <c r="F57" s="12"/>
      <c r="G57" s="11" t="s">
        <v>72</v>
      </c>
      <c r="H57" s="2"/>
      <c r="I57" s="12"/>
      <c r="J57" s="11"/>
      <c r="K57" s="2"/>
      <c r="L57" s="12"/>
      <c r="M57" s="11"/>
      <c r="N57" s="2" t="s">
        <v>47</v>
      </c>
      <c r="O57" s="12"/>
      <c r="P57" s="11"/>
      <c r="Q57" s="2"/>
      <c r="R57" s="12"/>
      <c r="S57" s="11"/>
      <c r="T57" s="2"/>
      <c r="U57" s="12"/>
    </row>
    <row r="58" spans="2:21" ht="15.6">
      <c r="B58" s="11">
        <v>8</v>
      </c>
      <c r="C58" s="74" t="s">
        <v>171</v>
      </c>
      <c r="D58" s="11"/>
      <c r="E58" s="2" t="s">
        <v>72</v>
      </c>
      <c r="F58" s="12"/>
      <c r="G58" s="11" t="s">
        <v>72</v>
      </c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9</v>
      </c>
      <c r="C59" s="74" t="s">
        <v>138</v>
      </c>
      <c r="D59" s="11" t="s">
        <v>72</v>
      </c>
      <c r="E59" s="2"/>
      <c r="F59" s="12"/>
      <c r="G59" s="11" t="s">
        <v>72</v>
      </c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10</v>
      </c>
      <c r="C60" s="74" t="s">
        <v>140</v>
      </c>
      <c r="D60" s="11" t="s">
        <v>72</v>
      </c>
      <c r="E60" s="2"/>
      <c r="F60" s="12"/>
      <c r="G60" s="11"/>
      <c r="H60" s="2" t="s">
        <v>72</v>
      </c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>
      <c r="B61" s="142" t="s">
        <v>14</v>
      </c>
      <c r="C61" s="143"/>
      <c r="D61" s="144">
        <f>(COUNTIF(D51:D60, "X"))/((COUNTA($C$51:$C$60))-(COUNTA(F51:F60)))</f>
        <v>0.8</v>
      </c>
      <c r="E61" s="145"/>
      <c r="F61" s="146"/>
      <c r="G61" s="144">
        <f>(COUNTIF(G51:G60, "X"))/((COUNTA($C$51:$C$60))-(COUNTA(I51:I60)))</f>
        <v>0.8</v>
      </c>
      <c r="H61" s="145"/>
      <c r="I61" s="146"/>
      <c r="J61" s="144">
        <f>(COUNTIF(J51:J60, "X"))/((COUNTA($C$51:$C$60))-(COUNTA(L51:L60)))</f>
        <v>0</v>
      </c>
      <c r="K61" s="145"/>
      <c r="L61" s="146"/>
      <c r="M61" s="144">
        <f>(COUNTIF(M51:M60, "X"))/((COUNTA($C$51:$C$60))-(COUNTA(O51:O60)))</f>
        <v>0</v>
      </c>
      <c r="N61" s="145"/>
      <c r="O61" s="146"/>
      <c r="P61" s="144">
        <f>(COUNTIF(P51:P60, "X"))/((COUNTA($C$51:$C$60))-(COUNTA(R51:R60)))</f>
        <v>0</v>
      </c>
      <c r="Q61" s="145"/>
      <c r="R61" s="146"/>
      <c r="S61" s="144">
        <f>(COUNTIF(S51:S60, "X"))/((COUNTA($C$51:$C$60))-(COUNTA(U51:U60)))</f>
        <v>0</v>
      </c>
      <c r="T61" s="145"/>
      <c r="U61" s="146"/>
    </row>
    <row r="62" spans="2:21" ht="14.4" customHeight="1">
      <c r="B62" s="94" t="s">
        <v>188</v>
      </c>
      <c r="C62" s="94" t="s">
        <v>143</v>
      </c>
      <c r="D62" s="78"/>
      <c r="E62" s="5"/>
      <c r="F62" s="17"/>
      <c r="G62" s="16"/>
      <c r="H62" s="5"/>
      <c r="I62" s="17"/>
      <c r="J62" s="16"/>
      <c r="K62" s="5"/>
      <c r="L62" s="17"/>
      <c r="M62" s="16"/>
      <c r="N62" s="5"/>
      <c r="O62" s="17"/>
      <c r="P62" s="16"/>
      <c r="Q62" s="5"/>
      <c r="R62" s="17"/>
      <c r="S62" s="16"/>
      <c r="T62" s="5"/>
      <c r="U62" s="17"/>
    </row>
    <row r="63" spans="2:21" ht="15.6">
      <c r="B63" s="11">
        <v>1</v>
      </c>
      <c r="C63" s="72" t="s">
        <v>152</v>
      </c>
      <c r="D63" s="11"/>
      <c r="E63" s="2"/>
      <c r="F63" s="12"/>
      <c r="G63" s="11"/>
      <c r="H63" s="2"/>
      <c r="I63" s="12"/>
      <c r="J63" s="11"/>
      <c r="K63" s="2"/>
      <c r="L63" s="12"/>
      <c r="M63" s="11"/>
      <c r="N63" s="2"/>
      <c r="O63" s="12"/>
      <c r="P63" s="11"/>
      <c r="Q63" s="2"/>
      <c r="R63" s="12"/>
      <c r="S63" s="11"/>
      <c r="T63" s="2"/>
      <c r="U63" s="12"/>
    </row>
    <row r="64" spans="2:21" ht="15.6">
      <c r="B64" s="11">
        <v>2</v>
      </c>
      <c r="C64" s="72" t="s">
        <v>172</v>
      </c>
      <c r="D64" s="11"/>
      <c r="E64" s="2"/>
      <c r="F64" s="12"/>
      <c r="G64" s="11"/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3</v>
      </c>
      <c r="C65" s="72" t="s">
        <v>154</v>
      </c>
      <c r="D65" s="11"/>
      <c r="E65" s="2"/>
      <c r="F65" s="12"/>
      <c r="G65" s="11"/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4</v>
      </c>
      <c r="C66" s="72" t="s">
        <v>159</v>
      </c>
      <c r="D66" s="11"/>
      <c r="E66" s="23"/>
      <c r="F66" s="24"/>
      <c r="G66" s="22"/>
      <c r="H66" s="23"/>
      <c r="I66" s="24"/>
      <c r="J66" s="22"/>
      <c r="K66" s="23"/>
      <c r="L66" s="24"/>
      <c r="M66" s="22"/>
      <c r="N66" s="23"/>
      <c r="O66" s="24"/>
      <c r="P66" s="22"/>
      <c r="Q66" s="23"/>
      <c r="R66" s="24"/>
      <c r="S66" s="22"/>
      <c r="T66" s="23"/>
      <c r="U66" s="24"/>
    </row>
    <row r="67" spans="2:21" ht="15.6">
      <c r="B67" s="11">
        <v>5</v>
      </c>
      <c r="C67" s="72" t="s">
        <v>163</v>
      </c>
      <c r="D67" s="11"/>
      <c r="E67" s="23"/>
      <c r="F67" s="24"/>
      <c r="G67" s="22"/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6</v>
      </c>
      <c r="C68" s="72" t="s">
        <v>173</v>
      </c>
      <c r="D68" s="11"/>
      <c r="E68" s="23"/>
      <c r="F68" s="24"/>
      <c r="G68" s="22"/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7</v>
      </c>
      <c r="C69" s="72" t="s">
        <v>174</v>
      </c>
      <c r="D69" s="11"/>
      <c r="E69" s="92"/>
      <c r="F69" s="24"/>
      <c r="G69" s="22"/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8</v>
      </c>
      <c r="C70" s="72" t="s">
        <v>175</v>
      </c>
      <c r="D70" s="11"/>
      <c r="E70" s="23"/>
      <c r="F70" s="24"/>
      <c r="G70" s="22"/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9</v>
      </c>
      <c r="C71" s="72" t="s">
        <v>153</v>
      </c>
      <c r="D71" s="11"/>
      <c r="E71" s="92"/>
      <c r="F71" s="24"/>
      <c r="G71" s="22"/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10</v>
      </c>
      <c r="C72" s="72" t="s">
        <v>176</v>
      </c>
      <c r="D72" s="11"/>
      <c r="E72" s="23"/>
      <c r="F72" s="24"/>
      <c r="G72" s="22"/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11</v>
      </c>
      <c r="C73" s="72" t="s">
        <v>155</v>
      </c>
      <c r="D73" s="11"/>
      <c r="E73" s="23"/>
      <c r="F73" s="24"/>
      <c r="G73" s="22"/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177</v>
      </c>
      <c r="D74" s="11"/>
      <c r="E74" s="23"/>
      <c r="F74" s="24"/>
      <c r="G74" s="22"/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6.2" thickBot="1">
      <c r="B75" s="11">
        <v>13</v>
      </c>
      <c r="C75" s="72" t="s">
        <v>160</v>
      </c>
      <c r="D75" s="11"/>
      <c r="E75" s="23"/>
      <c r="F75" s="24"/>
      <c r="G75" s="22"/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>
      <c r="B76" s="142" t="s">
        <v>14</v>
      </c>
      <c r="C76" s="143"/>
      <c r="D76" s="149">
        <f>(COUNTIF(D63:D75, "X"))/((COUNTA($C$63:$C$75))-(COUNTA(F63:F75)))</f>
        <v>0</v>
      </c>
      <c r="E76" s="150"/>
      <c r="F76" s="151"/>
      <c r="G76" s="149">
        <f>(COUNTIF(G63:G75, "X"))/((COUNTA($C$63:$C$72))-(COUNTA(I63:I75)))</f>
        <v>0</v>
      </c>
      <c r="H76" s="150"/>
      <c r="I76" s="151"/>
      <c r="J76" s="149">
        <f>(COUNTIF(J63:J75, "X"))/((COUNTA($C$63:$C$72))-(COUNTA(L63:L75)))</f>
        <v>0</v>
      </c>
      <c r="K76" s="150"/>
      <c r="L76" s="151"/>
      <c r="M76" s="149">
        <f>(COUNTIF(M63:M75, "X"))/((COUNTA($C$63:$C$72))-(COUNTA(O63:O75)))</f>
        <v>0</v>
      </c>
      <c r="N76" s="150"/>
      <c r="O76" s="151"/>
      <c r="P76" s="149">
        <f>(COUNTIF(P63:P75, "X"))/((COUNTA($C$63:$C$72))-(COUNTA(R63:R75)))</f>
        <v>0</v>
      </c>
      <c r="Q76" s="150"/>
      <c r="R76" s="151"/>
      <c r="S76" s="149">
        <f>(COUNTIF(S63:S75, "X"))/((COUNTA($C$63:$C$72))-(COUNTA(U63:U75)))</f>
        <v>0</v>
      </c>
      <c r="T76" s="150"/>
      <c r="U76" s="151"/>
    </row>
    <row r="77" spans="2:21" ht="15" customHeight="1" thickBot="1">
      <c r="B77" s="94" t="s">
        <v>188</v>
      </c>
      <c r="C77" s="94" t="s">
        <v>144</v>
      </c>
      <c r="D77" s="98">
        <v>46043</v>
      </c>
      <c r="E77" s="33"/>
      <c r="F77" s="34"/>
      <c r="G77" s="32"/>
      <c r="H77" s="33"/>
      <c r="I77" s="34"/>
      <c r="J77" s="32"/>
      <c r="K77" s="33"/>
      <c r="L77" s="34"/>
      <c r="M77" s="32"/>
      <c r="N77" s="33"/>
      <c r="O77" s="34"/>
      <c r="P77" s="32"/>
      <c r="Q77" s="33"/>
      <c r="R77" s="34"/>
      <c r="S77" s="32"/>
      <c r="T77" s="33"/>
      <c r="U77" s="34"/>
    </row>
    <row r="78" spans="2:21" ht="15.6">
      <c r="B78" s="11">
        <v>1</v>
      </c>
      <c r="C78" s="72" t="s">
        <v>156</v>
      </c>
      <c r="D78" s="29" t="s">
        <v>72</v>
      </c>
      <c r="E78" s="30"/>
      <c r="F78" s="31"/>
      <c r="G78" s="29"/>
      <c r="H78" s="30"/>
      <c r="I78" s="31"/>
      <c r="J78" s="29"/>
      <c r="K78" s="30"/>
      <c r="L78" s="31"/>
      <c r="M78" s="29"/>
      <c r="N78" s="30"/>
      <c r="O78" s="31"/>
      <c r="P78" s="29"/>
      <c r="Q78" s="30"/>
      <c r="R78" s="31"/>
      <c r="S78" s="29"/>
      <c r="T78" s="30"/>
      <c r="U78" s="31"/>
    </row>
    <row r="79" spans="2:21" ht="15.6">
      <c r="B79" s="11">
        <v>2</v>
      </c>
      <c r="C79" s="72" t="s">
        <v>157</v>
      </c>
      <c r="D79" s="29"/>
      <c r="E79" s="2" t="s">
        <v>72</v>
      </c>
      <c r="F79" s="12"/>
      <c r="G79" s="11"/>
      <c r="H79" s="2"/>
      <c r="I79" s="12"/>
      <c r="J79" s="11"/>
      <c r="K79" s="2"/>
      <c r="L79" s="12"/>
      <c r="M79" s="11"/>
      <c r="N79" s="2"/>
      <c r="O79" s="12"/>
      <c r="P79" s="11"/>
      <c r="Q79" s="2"/>
      <c r="R79" s="12"/>
      <c r="S79" s="11"/>
      <c r="T79" s="2"/>
      <c r="U79" s="12"/>
    </row>
    <row r="80" spans="2:21" ht="15.6">
      <c r="B80" s="11">
        <v>3</v>
      </c>
      <c r="C80" s="72" t="s">
        <v>173</v>
      </c>
      <c r="D80" s="29" t="s">
        <v>72</v>
      </c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4</v>
      </c>
      <c r="C81" s="72" t="s">
        <v>178</v>
      </c>
      <c r="D81" s="29" t="s">
        <v>72</v>
      </c>
      <c r="E81" s="23"/>
      <c r="F81" s="24"/>
      <c r="G81" s="22"/>
      <c r="H81" s="23"/>
      <c r="I81" s="24"/>
      <c r="J81" s="22"/>
      <c r="K81" s="23"/>
      <c r="L81" s="24"/>
      <c r="M81" s="22"/>
      <c r="N81" s="23"/>
      <c r="O81" s="24"/>
      <c r="P81" s="22"/>
      <c r="Q81" s="23"/>
      <c r="R81" s="24"/>
      <c r="S81" s="22"/>
      <c r="T81" s="23"/>
      <c r="U81" s="24"/>
    </row>
    <row r="82" spans="2:21" ht="15.6">
      <c r="B82" s="11">
        <v>5</v>
      </c>
      <c r="C82" s="72" t="s">
        <v>179</v>
      </c>
      <c r="D82" s="29" t="s">
        <v>72</v>
      </c>
      <c r="E82" s="2"/>
      <c r="F82" s="12"/>
      <c r="G82" s="11"/>
      <c r="H82" s="2"/>
      <c r="I82" s="12"/>
      <c r="J82" s="11"/>
      <c r="K82" s="2"/>
      <c r="L82" s="12"/>
      <c r="M82" s="11"/>
      <c r="N82" s="2"/>
      <c r="O82" s="12"/>
      <c r="P82" s="11"/>
      <c r="Q82" s="2"/>
      <c r="R82" s="12"/>
      <c r="S82" s="11"/>
      <c r="T82" s="2"/>
      <c r="U82" s="12"/>
    </row>
    <row r="83" spans="2:21" ht="15.6">
      <c r="B83" s="11">
        <v>6</v>
      </c>
      <c r="C83" s="72" t="s">
        <v>158</v>
      </c>
      <c r="D83" s="29"/>
      <c r="E83" s="2" t="s">
        <v>72</v>
      </c>
      <c r="F83" s="12"/>
      <c r="G83" s="11"/>
      <c r="H83" s="2"/>
      <c r="I83" s="12"/>
      <c r="J83" s="11"/>
      <c r="K83" s="2"/>
      <c r="L83" s="12"/>
      <c r="M83" s="11"/>
      <c r="N83" s="2"/>
      <c r="O83" s="12"/>
      <c r="P83" s="11"/>
      <c r="Q83" s="2"/>
      <c r="R83" s="12"/>
      <c r="S83" s="11"/>
      <c r="T83" s="2"/>
      <c r="U83" s="12"/>
    </row>
    <row r="84" spans="2:21" ht="15.6">
      <c r="B84" s="11">
        <v>7</v>
      </c>
      <c r="C84" s="72" t="s">
        <v>222</v>
      </c>
      <c r="D84" s="29" t="s">
        <v>72</v>
      </c>
      <c r="E84" s="2"/>
      <c r="F84" s="12"/>
      <c r="G84" s="11"/>
      <c r="H84" s="2"/>
      <c r="I84" s="12"/>
      <c r="J84" s="11"/>
      <c r="K84" s="2"/>
      <c r="L84" s="12"/>
      <c r="M84" s="11"/>
      <c r="N84" s="2"/>
      <c r="O84" s="12"/>
      <c r="P84" s="11"/>
      <c r="Q84" s="2"/>
      <c r="R84" s="12"/>
      <c r="S84" s="11"/>
      <c r="T84" s="2"/>
      <c r="U84" s="12"/>
    </row>
    <row r="85" spans="2:21" ht="15.6">
      <c r="B85" s="11">
        <v>8</v>
      </c>
      <c r="C85" s="72" t="s">
        <v>181</v>
      </c>
      <c r="D85" s="29"/>
      <c r="E85" s="2"/>
      <c r="F85" s="12" t="s">
        <v>72</v>
      </c>
      <c r="G85" s="11"/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9</v>
      </c>
      <c r="C86" s="72" t="s">
        <v>213</v>
      </c>
      <c r="D86" s="29" t="s">
        <v>72</v>
      </c>
      <c r="E86" s="2"/>
      <c r="F86" s="12"/>
      <c r="G86" s="11"/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10</v>
      </c>
      <c r="C87" s="72" t="s">
        <v>214</v>
      </c>
      <c r="D87" s="29" t="s">
        <v>72</v>
      </c>
      <c r="E87" s="2"/>
      <c r="F87" s="12"/>
      <c r="G87" s="11"/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11</v>
      </c>
      <c r="C88" s="72" t="s">
        <v>162</v>
      </c>
      <c r="D88" s="29" t="s">
        <v>72</v>
      </c>
      <c r="E88" s="2"/>
      <c r="F88" s="12"/>
      <c r="G88" s="11"/>
      <c r="H88" s="2"/>
      <c r="I88" s="12"/>
      <c r="J88" s="11"/>
      <c r="K88" s="2"/>
      <c r="L88" s="12">
        <v>0</v>
      </c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12</v>
      </c>
      <c r="C89" s="72" t="s">
        <v>215</v>
      </c>
      <c r="D89" s="29"/>
      <c r="E89" s="2" t="s">
        <v>72</v>
      </c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13</v>
      </c>
      <c r="C90" s="72" t="s">
        <v>218</v>
      </c>
      <c r="D90" s="29" t="s">
        <v>72</v>
      </c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14</v>
      </c>
      <c r="C91" s="72" t="s">
        <v>216</v>
      </c>
      <c r="D91" s="29" t="s">
        <v>72</v>
      </c>
      <c r="E91" s="2"/>
      <c r="F91" s="12"/>
      <c r="G91" s="11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15</v>
      </c>
      <c r="C92" s="72" t="s">
        <v>217</v>
      </c>
      <c r="D92" s="29"/>
      <c r="E92" s="2" t="s">
        <v>72</v>
      </c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16</v>
      </c>
      <c r="C93" s="72" t="s">
        <v>204</v>
      </c>
      <c r="D93" s="29" t="s">
        <v>72</v>
      </c>
      <c r="E93" s="23"/>
      <c r="F93" s="24"/>
      <c r="G93" s="22"/>
      <c r="H93" s="23"/>
      <c r="I93" s="24"/>
      <c r="J93" s="22"/>
      <c r="K93" s="23"/>
      <c r="L93" s="24"/>
      <c r="M93" s="22"/>
      <c r="N93" s="23"/>
      <c r="O93" s="24"/>
      <c r="P93" s="22"/>
      <c r="Q93" s="23"/>
      <c r="R93" s="24"/>
      <c r="S93" s="22"/>
      <c r="T93" s="23"/>
      <c r="U93" s="24"/>
    </row>
    <row r="94" spans="2:21" ht="15.6">
      <c r="B94" s="11">
        <v>17</v>
      </c>
      <c r="C94" s="72" t="s">
        <v>221</v>
      </c>
      <c r="D94" s="29"/>
      <c r="E94" s="23"/>
      <c r="F94" s="24" t="s">
        <v>72</v>
      </c>
      <c r="G94" s="22"/>
      <c r="H94" s="23"/>
      <c r="I94" s="24"/>
      <c r="J94" s="22"/>
      <c r="K94" s="23"/>
      <c r="L94" s="24"/>
      <c r="M94" s="22"/>
      <c r="N94" s="23"/>
      <c r="O94" s="24"/>
      <c r="P94" s="22"/>
      <c r="Q94" s="23"/>
      <c r="R94" s="24"/>
      <c r="S94" s="22"/>
      <c r="T94" s="23"/>
      <c r="U94" s="24"/>
    </row>
    <row r="95" spans="2:21" ht="16.2" thickBot="1">
      <c r="B95" s="11">
        <v>18</v>
      </c>
      <c r="C95" s="72" t="s">
        <v>220</v>
      </c>
      <c r="D95" s="29" t="s">
        <v>72</v>
      </c>
      <c r="E95" s="23"/>
      <c r="F95" s="24"/>
      <c r="G95" s="22"/>
      <c r="H95" s="23"/>
      <c r="I95" s="24"/>
      <c r="J95" s="22"/>
      <c r="K95" s="23"/>
      <c r="L95" s="24"/>
      <c r="M95" s="22"/>
      <c r="N95" s="23"/>
      <c r="O95" s="24"/>
      <c r="P95" s="22"/>
      <c r="Q95" s="23"/>
      <c r="R95" s="24"/>
      <c r="S95" s="22"/>
      <c r="T95" s="23"/>
      <c r="U95" s="24"/>
    </row>
    <row r="96" spans="2:21" ht="15" thickBot="1">
      <c r="B96" s="142" t="s">
        <v>14</v>
      </c>
      <c r="C96" s="143"/>
      <c r="D96" s="137">
        <f>(COUNTIF(D78:D95, "X"))/((COUNTA($C$78:$C$95))-(COUNTA(F78:F95)))</f>
        <v>0.75</v>
      </c>
      <c r="E96" s="138"/>
      <c r="F96" s="139"/>
      <c r="G96" s="137">
        <f>(COUNTIF(G82:G95, "X"))/((COUNTA($C$82:$C$95))-(COUNTA(I82:I95)))</f>
        <v>0</v>
      </c>
      <c r="H96" s="138"/>
      <c r="I96" s="139"/>
      <c r="J96" s="137">
        <f>(COUNTIF(J82:J95, "X"))/((COUNTA($C$19:$C$31))-(COUNTA(L82:L95)))</f>
        <v>0</v>
      </c>
      <c r="K96" s="138"/>
      <c r="L96" s="139"/>
      <c r="M96" s="137">
        <f>(COUNTIF(M82:M95, "X"))/((COUNTA($C$19:$C$31))-(COUNTA(O82:O95)))</f>
        <v>0</v>
      </c>
      <c r="N96" s="138"/>
      <c r="O96" s="139"/>
      <c r="P96" s="137">
        <f>(COUNTIF(P82:P95, "X"))/((COUNTA($C$19:$C$31))-(COUNTA(R82:R95)))</f>
        <v>0</v>
      </c>
      <c r="Q96" s="138"/>
      <c r="R96" s="139"/>
      <c r="S96" s="137">
        <f>(COUNTIF(S82:S95, "X"))/((COUNTA($C$19:$C$31))-(COUNTA(U82:U95)))</f>
        <v>0</v>
      </c>
      <c r="T96" s="138"/>
      <c r="U96" s="139"/>
    </row>
    <row r="97" spans="2:21">
      <c r="B97" s="147"/>
      <c r="C97" s="148"/>
      <c r="D97" s="16"/>
      <c r="E97" s="5"/>
      <c r="F97" s="17"/>
      <c r="G97" s="16"/>
      <c r="H97" s="5"/>
      <c r="I97" s="17"/>
      <c r="J97" s="16"/>
      <c r="K97" s="5"/>
      <c r="L97" s="17"/>
      <c r="M97" s="16"/>
      <c r="N97" s="5"/>
      <c r="O97" s="17"/>
      <c r="P97" s="16"/>
      <c r="Q97" s="5"/>
      <c r="R97" s="17"/>
      <c r="S97" s="16"/>
      <c r="T97" s="5"/>
      <c r="U97" s="17"/>
    </row>
    <row r="98" spans="2:21" ht="15.6">
      <c r="B98" s="11">
        <v>1</v>
      </c>
      <c r="C98" s="72"/>
      <c r="D98" s="11"/>
      <c r="E98" s="2"/>
      <c r="F98" s="12"/>
      <c r="G98" s="11"/>
      <c r="H98" s="2"/>
      <c r="I98" s="12"/>
      <c r="J98" s="11"/>
      <c r="K98" s="2"/>
      <c r="L98" s="12"/>
      <c r="M98" s="11"/>
      <c r="N98" s="2"/>
      <c r="O98" s="12"/>
      <c r="P98" s="11"/>
      <c r="Q98" s="2"/>
      <c r="R98" s="12"/>
      <c r="S98" s="11"/>
      <c r="T98" s="2"/>
      <c r="U98" s="12"/>
    </row>
    <row r="99" spans="2:21" ht="15.6">
      <c r="B99" s="11">
        <v>2</v>
      </c>
      <c r="C99" s="72"/>
      <c r="D99" s="11"/>
      <c r="E99" s="2"/>
      <c r="F99" s="12"/>
      <c r="G99" s="11"/>
      <c r="H99" s="2"/>
      <c r="I99" s="12"/>
      <c r="J99" s="11"/>
      <c r="K99" s="2"/>
      <c r="L99" s="12"/>
      <c r="M99" s="11"/>
      <c r="N99" s="2"/>
      <c r="O99" s="12"/>
      <c r="P99" s="11"/>
      <c r="Q99" s="2"/>
      <c r="R99" s="12"/>
      <c r="S99" s="11"/>
      <c r="T99" s="2"/>
      <c r="U99" s="12"/>
    </row>
    <row r="100" spans="2:21" ht="15.6">
      <c r="B100" s="11">
        <v>3</v>
      </c>
      <c r="C100" s="72"/>
      <c r="D100" s="11"/>
      <c r="E100" s="2"/>
      <c r="F100" s="12"/>
      <c r="G100" s="11"/>
      <c r="H100" s="2"/>
      <c r="I100" s="12"/>
      <c r="J100" s="11"/>
      <c r="K100" s="2"/>
      <c r="L100" s="12"/>
      <c r="M100" s="11"/>
      <c r="N100" s="2"/>
      <c r="O100" s="12"/>
      <c r="P100" s="11"/>
      <c r="Q100" s="2"/>
      <c r="R100" s="12"/>
      <c r="S100" s="11"/>
      <c r="T100" s="2"/>
      <c r="U100" s="12"/>
    </row>
    <row r="101" spans="2:21" ht="15.6">
      <c r="B101" s="11">
        <v>4</v>
      </c>
      <c r="C101" s="74"/>
      <c r="D101" s="22"/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.6">
      <c r="B102" s="11">
        <v>5</v>
      </c>
      <c r="C102" s="74"/>
      <c r="D102" s="22"/>
      <c r="E102" s="23"/>
      <c r="F102" s="24"/>
      <c r="G102" s="22"/>
      <c r="H102" s="23"/>
      <c r="I102" s="24"/>
      <c r="J102" s="22"/>
      <c r="K102" s="23"/>
      <c r="L102" s="24"/>
      <c r="M102" s="22"/>
      <c r="N102" s="23"/>
      <c r="O102" s="24"/>
      <c r="P102" s="22"/>
      <c r="Q102" s="23"/>
      <c r="R102" s="24"/>
      <c r="S102" s="22"/>
      <c r="T102" s="23"/>
      <c r="U102" s="24"/>
    </row>
    <row r="103" spans="2:21" ht="15.6">
      <c r="B103" s="11">
        <v>6</v>
      </c>
      <c r="C103" s="74"/>
      <c r="D103" s="22"/>
      <c r="E103" s="23"/>
      <c r="F103" s="24"/>
      <c r="G103" s="22"/>
      <c r="H103" s="23"/>
      <c r="I103" s="24"/>
      <c r="J103" s="22"/>
      <c r="K103" s="23"/>
      <c r="L103" s="24"/>
      <c r="M103" s="22"/>
      <c r="N103" s="23"/>
      <c r="O103" s="24"/>
      <c r="P103" s="22"/>
      <c r="Q103" s="23"/>
      <c r="R103" s="24"/>
      <c r="S103" s="22"/>
      <c r="T103" s="23"/>
      <c r="U103" s="24"/>
    </row>
    <row r="104" spans="2:21" ht="15.6">
      <c r="B104" s="11">
        <v>7</v>
      </c>
      <c r="C104" s="74"/>
      <c r="D104" s="22"/>
      <c r="E104" s="23"/>
      <c r="F104" s="24"/>
      <c r="G104" s="22"/>
      <c r="H104" s="23"/>
      <c r="I104" s="24"/>
      <c r="J104" s="22"/>
      <c r="K104" s="23"/>
      <c r="L104" s="24"/>
      <c r="M104" s="22"/>
      <c r="N104" s="23"/>
      <c r="O104" s="24"/>
      <c r="P104" s="22"/>
      <c r="Q104" s="23"/>
      <c r="R104" s="24"/>
      <c r="S104" s="22"/>
      <c r="T104" s="23"/>
      <c r="U104" s="24"/>
    </row>
    <row r="105" spans="2:21" ht="15.6">
      <c r="B105" s="11">
        <v>8</v>
      </c>
      <c r="C105" s="74"/>
      <c r="D105" s="22"/>
      <c r="E105" s="23"/>
      <c r="F105" s="24"/>
      <c r="G105" s="22"/>
      <c r="H105" s="23"/>
      <c r="I105" s="24"/>
      <c r="J105" s="22"/>
      <c r="K105" s="23"/>
      <c r="L105" s="24"/>
      <c r="M105" s="22"/>
      <c r="N105" s="23"/>
      <c r="O105" s="24"/>
      <c r="P105" s="22"/>
      <c r="Q105" s="23"/>
      <c r="R105" s="24"/>
      <c r="S105" s="22"/>
      <c r="T105" s="23"/>
      <c r="U105" s="24"/>
    </row>
    <row r="106" spans="2:21" ht="15.6">
      <c r="B106" s="11">
        <v>9</v>
      </c>
      <c r="C106" s="74"/>
      <c r="D106" s="22"/>
      <c r="E106" s="23"/>
      <c r="F106" s="24"/>
      <c r="G106" s="22"/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6.2" thickBot="1">
      <c r="B107" s="11">
        <v>10</v>
      </c>
      <c r="C107" s="74"/>
      <c r="D107" s="22"/>
      <c r="E107" s="23"/>
      <c r="F107" s="24"/>
      <c r="G107" s="22"/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>
      <c r="B108" s="142" t="s">
        <v>14</v>
      </c>
      <c r="C108" s="143"/>
      <c r="D108" s="149">
        <f>(COUNTIF(D98:D107, "X"))/((COUNTA($C$63:$C$72))-(COUNTA(F98:F107)))</f>
        <v>0</v>
      </c>
      <c r="E108" s="150"/>
      <c r="F108" s="151"/>
      <c r="G108" s="149">
        <f>(COUNTIF(G98:G107, "X"))/((COUNTA($C$63:$C$72))-(COUNTA(I98:I107)))</f>
        <v>0</v>
      </c>
      <c r="H108" s="150"/>
      <c r="I108" s="151"/>
      <c r="J108" s="149">
        <f>(COUNTIF(J98:J107, "X"))/((COUNTA($C$63:$C$72))-(COUNTA(L98:L107)))</f>
        <v>0</v>
      </c>
      <c r="K108" s="150"/>
      <c r="L108" s="151"/>
      <c r="M108" s="149">
        <f>(COUNTIF(M98:M107, "X"))/((COUNTA($C$63:$C$72))-(COUNTA(O98:O107)))</f>
        <v>0</v>
      </c>
      <c r="N108" s="150"/>
      <c r="O108" s="151"/>
      <c r="P108" s="149">
        <f>(COUNTIF(P98:P107, "X"))/((COUNTA($C$63:$C$72))-(COUNTA(R98:R107)))</f>
        <v>0</v>
      </c>
      <c r="Q108" s="150"/>
      <c r="R108" s="151"/>
      <c r="S108" s="149">
        <f>(COUNTIF(S98:S107, "X"))/((COUNTA($C$63:$C$72))-(COUNTA(U98:U107)))</f>
        <v>0</v>
      </c>
      <c r="T108" s="150"/>
      <c r="U108" s="151"/>
    </row>
    <row r="109" spans="2:21">
      <c r="B109" s="147" t="s">
        <v>129</v>
      </c>
      <c r="C109" s="148"/>
      <c r="D109" s="16"/>
      <c r="E109" s="5"/>
      <c r="F109" s="17"/>
      <c r="G109" s="16"/>
      <c r="H109" s="5"/>
      <c r="I109" s="17"/>
      <c r="J109" s="16"/>
      <c r="K109" s="5"/>
      <c r="L109" s="17"/>
      <c r="M109" s="16"/>
      <c r="N109" s="5"/>
      <c r="O109" s="17"/>
      <c r="P109" s="16"/>
      <c r="Q109" s="5"/>
      <c r="R109" s="17"/>
      <c r="S109" s="16"/>
      <c r="T109" s="5"/>
      <c r="U109" s="17"/>
    </row>
    <row r="110" spans="2:21" ht="15.6">
      <c r="B110" s="11">
        <v>1</v>
      </c>
      <c r="C110" s="72"/>
      <c r="D110" s="11"/>
      <c r="E110" s="2"/>
      <c r="F110" s="12"/>
      <c r="G110" s="11"/>
      <c r="H110" s="2"/>
      <c r="I110" s="12"/>
      <c r="J110" s="11"/>
      <c r="K110" s="2"/>
      <c r="L110" s="12"/>
      <c r="M110" s="11"/>
      <c r="N110" s="2"/>
      <c r="O110" s="12"/>
      <c r="P110" s="11"/>
      <c r="Q110" s="2"/>
      <c r="R110" s="12"/>
      <c r="S110" s="11"/>
      <c r="T110" s="2"/>
      <c r="U110" s="12"/>
    </row>
    <row r="111" spans="2:21" ht="15.6">
      <c r="B111" s="11">
        <v>2</v>
      </c>
      <c r="C111" s="72"/>
      <c r="D111" s="11"/>
      <c r="E111" s="2"/>
      <c r="F111" s="12"/>
      <c r="G111" s="11"/>
      <c r="H111" s="2"/>
      <c r="I111" s="12"/>
      <c r="J111" s="11"/>
      <c r="K111" s="2"/>
      <c r="L111" s="12"/>
      <c r="M111" s="11"/>
      <c r="N111" s="2"/>
      <c r="O111" s="12"/>
      <c r="P111" s="11"/>
      <c r="Q111" s="2"/>
      <c r="R111" s="12"/>
      <c r="S111" s="11"/>
      <c r="T111" s="2"/>
      <c r="U111" s="12"/>
    </row>
    <row r="112" spans="2:21" ht="15.6">
      <c r="B112" s="11">
        <v>3</v>
      </c>
      <c r="C112" s="72"/>
      <c r="D112" s="11"/>
      <c r="E112" s="2"/>
      <c r="F112" s="12"/>
      <c r="G112" s="11"/>
      <c r="H112" s="2"/>
      <c r="I112" s="12"/>
      <c r="J112" s="11"/>
      <c r="K112" s="2"/>
      <c r="L112" s="12"/>
      <c r="M112" s="11"/>
      <c r="N112" s="2"/>
      <c r="O112" s="12"/>
      <c r="P112" s="11"/>
      <c r="Q112" s="2"/>
      <c r="R112" s="12"/>
      <c r="S112" s="11"/>
      <c r="T112" s="2"/>
      <c r="U112" s="12"/>
    </row>
    <row r="113" spans="2:21" ht="15.6">
      <c r="B113" s="11">
        <v>4</v>
      </c>
      <c r="C113" s="74"/>
      <c r="D113" s="22"/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5</v>
      </c>
      <c r="C114" s="74"/>
      <c r="D114" s="22"/>
      <c r="E114" s="23"/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6</v>
      </c>
      <c r="C115" s="74"/>
      <c r="D115" s="22"/>
      <c r="E115" s="23"/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5.6">
      <c r="B116" s="11">
        <v>7</v>
      </c>
      <c r="C116" s="74"/>
      <c r="D116" s="22"/>
      <c r="E116" s="23"/>
      <c r="F116" s="24"/>
      <c r="G116" s="22"/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 ht="15.6">
      <c r="B117" s="11">
        <v>8</v>
      </c>
      <c r="C117" s="74"/>
      <c r="D117" s="22"/>
      <c r="E117" s="23"/>
      <c r="F117" s="24"/>
      <c r="G117" s="22"/>
      <c r="H117" s="23"/>
      <c r="I117" s="24"/>
      <c r="J117" s="22"/>
      <c r="K117" s="23"/>
      <c r="L117" s="24"/>
      <c r="M117" s="22"/>
      <c r="N117" s="23"/>
      <c r="O117" s="24"/>
      <c r="P117" s="22"/>
      <c r="Q117" s="23"/>
      <c r="R117" s="24"/>
      <c r="S117" s="22"/>
      <c r="T117" s="23"/>
      <c r="U117" s="24"/>
    </row>
    <row r="118" spans="2:21" ht="15.6">
      <c r="B118" s="11">
        <v>9</v>
      </c>
      <c r="C118" s="74"/>
      <c r="D118" s="22"/>
      <c r="E118" s="23"/>
      <c r="F118" s="24"/>
      <c r="G118" s="22"/>
      <c r="H118" s="23"/>
      <c r="I118" s="24"/>
      <c r="J118" s="22"/>
      <c r="K118" s="23"/>
      <c r="L118" s="24"/>
      <c r="M118" s="22"/>
      <c r="N118" s="23"/>
      <c r="O118" s="24"/>
      <c r="P118" s="22"/>
      <c r="Q118" s="23"/>
      <c r="R118" s="24"/>
      <c r="S118" s="22"/>
      <c r="T118" s="23"/>
      <c r="U118" s="24"/>
    </row>
    <row r="119" spans="2:21" ht="16.2" thickBot="1">
      <c r="B119" s="11">
        <v>10</v>
      </c>
      <c r="C119" s="74"/>
      <c r="D119" s="22"/>
      <c r="E119" s="23"/>
      <c r="F119" s="24"/>
      <c r="G119" s="22"/>
      <c r="H119" s="23"/>
      <c r="I119" s="24"/>
      <c r="J119" s="22"/>
      <c r="K119" s="23"/>
      <c r="L119" s="24"/>
      <c r="M119" s="22"/>
      <c r="N119" s="23"/>
      <c r="O119" s="24"/>
      <c r="P119" s="22"/>
      <c r="Q119" s="23"/>
      <c r="R119" s="24"/>
      <c r="S119" s="22"/>
      <c r="T119" s="23"/>
      <c r="U119" s="24"/>
    </row>
    <row r="120" spans="2:21">
      <c r="B120" s="142" t="s">
        <v>14</v>
      </c>
      <c r="C120" s="143"/>
      <c r="D120" s="149">
        <f>(COUNTIF(D110:D119, "X"))/((COUNTA($C$63:$C$72))-(COUNTA(F110:F119)))</f>
        <v>0</v>
      </c>
      <c r="E120" s="150"/>
      <c r="F120" s="151"/>
      <c r="G120" s="149">
        <f>(COUNTIF(G110:G119, "X"))/((COUNTA($C$63:$C$72))-(COUNTA(I110:I119)))</f>
        <v>0</v>
      </c>
      <c r="H120" s="150"/>
      <c r="I120" s="151"/>
      <c r="J120" s="149">
        <f>(COUNTIF(J110:J119, "X"))/((COUNTA($C$63:$C$72))-(COUNTA(L110:L119)))</f>
        <v>0</v>
      </c>
      <c r="K120" s="150"/>
      <c r="L120" s="151"/>
      <c r="M120" s="149">
        <f>(COUNTIF(M110:M119, "X"))/((COUNTA($C$63:$C$72))-(COUNTA(O110:O119)))</f>
        <v>0</v>
      </c>
      <c r="N120" s="150"/>
      <c r="O120" s="151"/>
      <c r="P120" s="149">
        <f>(COUNTIF(P110:P119, "X"))/((COUNTA($C$63:$C$72))-(COUNTA(R110:R119)))</f>
        <v>0</v>
      </c>
      <c r="Q120" s="150"/>
      <c r="R120" s="151"/>
      <c r="S120" s="149">
        <f>(COUNTIF(S110:S119, "X"))/((COUNTA($C$63:$C$72))-(COUNTA(U110:U119)))</f>
        <v>0</v>
      </c>
      <c r="T120" s="150"/>
      <c r="U120" s="151"/>
    </row>
  </sheetData>
  <mergeCells count="67">
    <mergeCell ref="S2:U3"/>
    <mergeCell ref="B4:C4"/>
    <mergeCell ref="B17:C17"/>
    <mergeCell ref="D17:F17"/>
    <mergeCell ref="G17:I17"/>
    <mergeCell ref="J17:L17"/>
    <mergeCell ref="M17:O17"/>
    <mergeCell ref="P17:R17"/>
    <mergeCell ref="S17:U17"/>
    <mergeCell ref="B2:C3"/>
    <mergeCell ref="E2:F3"/>
    <mergeCell ref="H2:I3"/>
    <mergeCell ref="K2:L3"/>
    <mergeCell ref="N2:O3"/>
    <mergeCell ref="Q2:R3"/>
    <mergeCell ref="S32:U32"/>
    <mergeCell ref="B49:C49"/>
    <mergeCell ref="D49:F49"/>
    <mergeCell ref="G49:I49"/>
    <mergeCell ref="J49:L49"/>
    <mergeCell ref="M49:O49"/>
    <mergeCell ref="P49:R49"/>
    <mergeCell ref="S49:U49"/>
    <mergeCell ref="B32:C32"/>
    <mergeCell ref="D32:F32"/>
    <mergeCell ref="G32:I32"/>
    <mergeCell ref="J32:L32"/>
    <mergeCell ref="M32:O32"/>
    <mergeCell ref="P32:R32"/>
    <mergeCell ref="B50:C50"/>
    <mergeCell ref="B61:C61"/>
    <mergeCell ref="D61:F61"/>
    <mergeCell ref="G61:I61"/>
    <mergeCell ref="J61:L61"/>
    <mergeCell ref="P61:R61"/>
    <mergeCell ref="S61:U61"/>
    <mergeCell ref="B76:C76"/>
    <mergeCell ref="D76:F76"/>
    <mergeCell ref="G76:I76"/>
    <mergeCell ref="J76:L76"/>
    <mergeCell ref="M76:O76"/>
    <mergeCell ref="P76:R76"/>
    <mergeCell ref="S76:U76"/>
    <mergeCell ref="M61:O61"/>
    <mergeCell ref="S96:U96"/>
    <mergeCell ref="B97:C97"/>
    <mergeCell ref="B108:C108"/>
    <mergeCell ref="D108:F108"/>
    <mergeCell ref="G108:I108"/>
    <mergeCell ref="J108:L108"/>
    <mergeCell ref="M108:O108"/>
    <mergeCell ref="P108:R108"/>
    <mergeCell ref="S108:U108"/>
    <mergeCell ref="B96:C96"/>
    <mergeCell ref="D96:F96"/>
    <mergeCell ref="G96:I96"/>
    <mergeCell ref="J96:L96"/>
    <mergeCell ref="M96:O96"/>
    <mergeCell ref="P96:R96"/>
    <mergeCell ref="P120:R120"/>
    <mergeCell ref="S120:U120"/>
    <mergeCell ref="B109:C109"/>
    <mergeCell ref="B120:C120"/>
    <mergeCell ref="D120:F120"/>
    <mergeCell ref="G120:I120"/>
    <mergeCell ref="J120:L120"/>
    <mergeCell ref="M120:O1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57A5-C41E-472F-9771-F8110B2BBED3}">
  <dimension ref="B2:X116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10" sqref="G10"/>
    </sheetView>
  </sheetViews>
  <sheetFormatPr baseColWidth="10" defaultRowHeight="14.4"/>
  <cols>
    <col min="2" max="2" width="3.33203125" style="1" customWidth="1"/>
    <col min="3" max="3" width="58.44140625" bestFit="1" customWidth="1"/>
    <col min="4" max="4" width="11.109375" bestFit="1" customWidth="1"/>
    <col min="5" max="5" width="11.33203125" customWidth="1"/>
    <col min="6" max="6" width="15.44140625" customWidth="1"/>
    <col min="7" max="7" width="11.33203125" customWidth="1"/>
    <col min="8" max="8" width="10.77734375" customWidth="1"/>
    <col min="9" max="9" width="11" customWidth="1"/>
    <col min="10" max="10" width="10.77734375" bestFit="1" customWidth="1"/>
    <col min="11" max="11" width="8" bestFit="1" customWidth="1"/>
    <col min="12" max="12" width="8.6640625" customWidth="1"/>
    <col min="14" max="14" width="9.109375" customWidth="1"/>
    <col min="15" max="15" width="8.33203125" customWidth="1"/>
    <col min="16" max="21" width="8.6640625" customWidth="1"/>
  </cols>
  <sheetData>
    <row r="2" spans="2:24" ht="15" thickBot="1"/>
    <row r="3" spans="2:24">
      <c r="B3" s="117" t="s">
        <v>43</v>
      </c>
      <c r="C3" s="118"/>
      <c r="D3" s="64" t="s">
        <v>0</v>
      </c>
      <c r="E3" s="169">
        <v>46055</v>
      </c>
      <c r="F3" s="170"/>
      <c r="G3" s="64" t="s">
        <v>0</v>
      </c>
      <c r="H3" s="169">
        <v>46055</v>
      </c>
      <c r="I3" s="170"/>
      <c r="J3" s="64" t="s">
        <v>0</v>
      </c>
      <c r="K3" s="169">
        <f>H3+1</f>
        <v>46056</v>
      </c>
      <c r="L3" s="170"/>
      <c r="M3" s="64" t="s">
        <v>0</v>
      </c>
      <c r="N3" s="169">
        <f t="shared" ref="N3" si="0">K3+1</f>
        <v>46057</v>
      </c>
      <c r="O3" s="170"/>
      <c r="P3" s="64" t="s">
        <v>0</v>
      </c>
      <c r="Q3" s="169">
        <f t="shared" ref="Q3" si="1">N3+1</f>
        <v>46058</v>
      </c>
      <c r="R3" s="170"/>
      <c r="S3" s="158" t="s">
        <v>100</v>
      </c>
      <c r="T3" s="159"/>
      <c r="U3" s="160"/>
    </row>
    <row r="4" spans="2:24">
      <c r="B4" s="119"/>
      <c r="C4" s="120"/>
      <c r="D4" s="11" t="s">
        <v>1</v>
      </c>
      <c r="E4" s="171"/>
      <c r="F4" s="172"/>
      <c r="G4" s="11" t="s">
        <v>1</v>
      </c>
      <c r="H4" s="171">
        <v>45916</v>
      </c>
      <c r="I4" s="172"/>
      <c r="J4" s="11" t="s">
        <v>1</v>
      </c>
      <c r="K4" s="171">
        <v>45916</v>
      </c>
      <c r="L4" s="172"/>
      <c r="M4" s="11" t="s">
        <v>1</v>
      </c>
      <c r="N4" s="171">
        <v>45916</v>
      </c>
      <c r="O4" s="172"/>
      <c r="P4" s="11" t="s">
        <v>1</v>
      </c>
      <c r="Q4" s="171">
        <v>45916</v>
      </c>
      <c r="R4" s="172"/>
      <c r="S4" s="161"/>
      <c r="T4" s="162"/>
      <c r="U4" s="163"/>
    </row>
    <row r="5" spans="2:24" ht="28.8">
      <c r="B5" s="131"/>
      <c r="C5" s="132"/>
      <c r="D5" s="13" t="s">
        <v>2</v>
      </c>
      <c r="E5" s="3" t="s">
        <v>3</v>
      </c>
      <c r="F5" s="65" t="s">
        <v>4</v>
      </c>
      <c r="G5" s="13" t="s">
        <v>2</v>
      </c>
      <c r="H5" s="3" t="s">
        <v>3</v>
      </c>
      <c r="I5" s="65" t="s">
        <v>4</v>
      </c>
      <c r="J5" s="13" t="s">
        <v>2</v>
      </c>
      <c r="K5" s="3" t="s">
        <v>3</v>
      </c>
      <c r="L5" s="65" t="s">
        <v>4</v>
      </c>
      <c r="M5" s="13" t="s">
        <v>2</v>
      </c>
      <c r="N5" s="3" t="s">
        <v>3</v>
      </c>
      <c r="O5" s="65" t="s">
        <v>4</v>
      </c>
      <c r="P5" s="13" t="s">
        <v>2</v>
      </c>
      <c r="Q5" s="3" t="s">
        <v>3</v>
      </c>
      <c r="R5" s="65" t="s">
        <v>4</v>
      </c>
      <c r="S5" s="13" t="s">
        <v>2</v>
      </c>
      <c r="T5" s="3" t="s">
        <v>3</v>
      </c>
      <c r="U5" s="65" t="s">
        <v>4</v>
      </c>
    </row>
    <row r="6" spans="2:24">
      <c r="B6" s="14" t="s">
        <v>188</v>
      </c>
      <c r="C6" s="14" t="s">
        <v>89</v>
      </c>
      <c r="D6" s="79">
        <v>46060</v>
      </c>
      <c r="E6" s="4"/>
      <c r="F6" s="15"/>
      <c r="G6" s="79"/>
      <c r="H6" s="4"/>
      <c r="I6" s="15"/>
      <c r="J6" s="79"/>
      <c r="K6" s="4"/>
      <c r="L6" s="15"/>
      <c r="M6" s="14"/>
      <c r="N6" s="4"/>
      <c r="O6" s="15"/>
      <c r="P6" s="14"/>
      <c r="Q6" s="4"/>
      <c r="R6" s="15"/>
      <c r="S6" s="14"/>
      <c r="T6" s="4"/>
      <c r="U6" s="15"/>
      <c r="W6" t="s">
        <v>101</v>
      </c>
      <c r="X6" s="75"/>
    </row>
    <row r="7" spans="2:24" ht="15.6">
      <c r="B7" s="84">
        <v>1</v>
      </c>
      <c r="C7" s="72" t="s">
        <v>77</v>
      </c>
      <c r="D7" s="84"/>
      <c r="E7" s="85" t="s">
        <v>72</v>
      </c>
      <c r="F7" s="89"/>
      <c r="G7" s="11"/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  <c r="W7" t="s">
        <v>102</v>
      </c>
      <c r="X7" s="76"/>
    </row>
    <row r="8" spans="2:24" ht="15.6">
      <c r="B8" s="84">
        <v>2</v>
      </c>
      <c r="C8" s="72" t="s">
        <v>78</v>
      </c>
      <c r="D8" s="84"/>
      <c r="E8" s="85" t="s">
        <v>72</v>
      </c>
      <c r="F8" s="89"/>
      <c r="G8" s="11"/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5.6">
      <c r="B9" s="84">
        <v>3</v>
      </c>
      <c r="C9" s="72" t="s">
        <v>79</v>
      </c>
      <c r="D9" s="105"/>
      <c r="E9" s="85" t="s">
        <v>72</v>
      </c>
      <c r="F9" s="89"/>
      <c r="G9" s="93"/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5.6">
      <c r="B10" s="84">
        <v>4</v>
      </c>
      <c r="C10" s="72" t="s">
        <v>80</v>
      </c>
      <c r="D10" s="84" t="s">
        <v>72</v>
      </c>
      <c r="E10" s="85"/>
      <c r="F10" s="89"/>
      <c r="G10" s="11"/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5.6">
      <c r="B11" s="84">
        <v>5</v>
      </c>
      <c r="C11" s="72" t="s">
        <v>189</v>
      </c>
      <c r="D11" s="84" t="s">
        <v>72</v>
      </c>
      <c r="E11" s="85"/>
      <c r="F11" s="89"/>
      <c r="G11" s="93"/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5.6">
      <c r="B12" s="84">
        <v>6</v>
      </c>
      <c r="C12" s="72" t="s">
        <v>81</v>
      </c>
      <c r="D12" s="84" t="s">
        <v>72</v>
      </c>
      <c r="E12" s="85"/>
      <c r="F12" s="89"/>
      <c r="G12" s="11"/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5.6">
      <c r="B13" s="84">
        <v>7</v>
      </c>
      <c r="C13" s="72" t="s">
        <v>82</v>
      </c>
      <c r="D13" s="84" t="s">
        <v>72</v>
      </c>
      <c r="E13" s="85"/>
      <c r="F13" s="89"/>
      <c r="G13" s="93"/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  <c r="X13">
        <v>43</v>
      </c>
    </row>
    <row r="14" spans="2:24" ht="15.6">
      <c r="B14" s="84">
        <v>8</v>
      </c>
      <c r="C14" s="72" t="s">
        <v>190</v>
      </c>
      <c r="D14" s="84" t="s">
        <v>72</v>
      </c>
      <c r="E14" s="85"/>
      <c r="F14" s="89"/>
      <c r="G14" s="11"/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  <c r="X14">
        <v>64</v>
      </c>
    </row>
    <row r="15" spans="2:24" ht="15.6">
      <c r="B15" s="84">
        <v>9</v>
      </c>
      <c r="C15" s="72" t="s">
        <v>170</v>
      </c>
      <c r="D15" s="84" t="s">
        <v>72</v>
      </c>
      <c r="E15" s="85"/>
      <c r="F15" s="90"/>
      <c r="G15" s="11"/>
      <c r="H15" s="2"/>
      <c r="I15" s="12"/>
      <c r="J15" s="11"/>
      <c r="K15" s="2"/>
      <c r="L15" s="12"/>
      <c r="M15" s="11"/>
      <c r="N15" s="2"/>
      <c r="O15" s="12"/>
      <c r="P15" s="11"/>
      <c r="Q15" s="2"/>
      <c r="R15" s="12"/>
      <c r="S15" s="11"/>
      <c r="T15" s="2"/>
      <c r="U15" s="12"/>
    </row>
    <row r="16" spans="2:24" ht="15.6">
      <c r="B16" s="84">
        <v>10</v>
      </c>
      <c r="C16" s="72" t="s">
        <v>111</v>
      </c>
      <c r="D16" s="84" t="s">
        <v>67</v>
      </c>
      <c r="E16" s="87"/>
      <c r="F16" s="91"/>
      <c r="G16" s="22"/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5.6">
      <c r="B17" s="84">
        <v>11</v>
      </c>
      <c r="C17" s="72" t="s">
        <v>191</v>
      </c>
      <c r="D17" s="84" t="s">
        <v>67</v>
      </c>
      <c r="E17" s="87"/>
      <c r="F17" s="91"/>
      <c r="G17" s="22"/>
      <c r="H17" s="23"/>
      <c r="I17" s="24"/>
      <c r="J17" s="22"/>
      <c r="K17" s="23"/>
      <c r="L17" s="24"/>
      <c r="M17" s="22"/>
      <c r="N17" s="23"/>
      <c r="O17" s="24"/>
      <c r="P17" s="22"/>
      <c r="Q17" s="23"/>
      <c r="R17" s="24"/>
      <c r="S17" s="22"/>
      <c r="T17" s="23"/>
      <c r="U17" s="24"/>
    </row>
    <row r="18" spans="2:21" ht="15.6">
      <c r="B18" s="84">
        <v>12</v>
      </c>
      <c r="C18" s="72" t="s">
        <v>192</v>
      </c>
      <c r="D18" s="84" t="s">
        <v>72</v>
      </c>
      <c r="E18" s="87"/>
      <c r="F18" s="91"/>
      <c r="G18" s="22"/>
      <c r="H18" s="23"/>
      <c r="I18" s="24"/>
      <c r="J18" s="22"/>
      <c r="K18" s="23"/>
      <c r="L18" s="24"/>
      <c r="M18" s="22"/>
      <c r="N18" s="23"/>
      <c r="O18" s="24"/>
      <c r="P18" s="22"/>
      <c r="Q18" s="23"/>
      <c r="R18" s="24"/>
      <c r="S18" s="22"/>
      <c r="T18" s="23"/>
      <c r="U18" s="24"/>
    </row>
    <row r="19" spans="2:21" ht="15.6">
      <c r="B19" s="84">
        <v>13</v>
      </c>
      <c r="C19" s="72" t="s">
        <v>193</v>
      </c>
      <c r="D19" s="84" t="s">
        <v>72</v>
      </c>
      <c r="E19" s="87"/>
      <c r="F19" s="91"/>
      <c r="G19" s="22"/>
      <c r="H19" s="23"/>
      <c r="I19" s="24"/>
      <c r="J19" s="22"/>
      <c r="K19" s="23"/>
      <c r="L19" s="24"/>
      <c r="M19" s="22"/>
      <c r="N19" s="23"/>
      <c r="O19" s="24"/>
      <c r="P19" s="22"/>
      <c r="Q19" s="23"/>
      <c r="R19" s="24"/>
      <c r="S19" s="22"/>
      <c r="T19" s="23"/>
      <c r="U19" s="24"/>
    </row>
    <row r="20" spans="2:21" ht="16.2" thickBot="1">
      <c r="B20" s="84">
        <v>15</v>
      </c>
      <c r="C20" s="72" t="s">
        <v>184</v>
      </c>
      <c r="D20" s="84" t="s">
        <v>72</v>
      </c>
      <c r="E20" s="87"/>
      <c r="F20" s="91"/>
      <c r="G20" s="22"/>
      <c r="H20" s="23"/>
      <c r="I20" s="24"/>
      <c r="J20" s="22"/>
      <c r="K20" s="23"/>
      <c r="L20" s="24"/>
      <c r="M20" s="22"/>
      <c r="N20" s="23"/>
      <c r="O20" s="24"/>
      <c r="P20" s="22"/>
      <c r="Q20" s="23"/>
      <c r="R20" s="24"/>
      <c r="S20" s="22"/>
      <c r="T20" s="23"/>
      <c r="U20" s="24"/>
    </row>
    <row r="21" spans="2:21" ht="15" thickBot="1">
      <c r="B21" s="164" t="s">
        <v>14</v>
      </c>
      <c r="C21" s="165"/>
      <c r="D21" s="166">
        <f>(COUNTIF(D7:D20, "X"))/((COUNTA($C$7:$C$20))-(COUNTA(F7:F20)))</f>
        <v>0.7857142857142857</v>
      </c>
      <c r="E21" s="167"/>
      <c r="F21" s="168"/>
      <c r="G21" s="137">
        <f>(COUNTIF(G7:G20, "X"))/((COUNTA($C$7:$C$20))-(COUNTA(I7:I20)))</f>
        <v>0</v>
      </c>
      <c r="H21" s="138"/>
      <c r="I21" s="139"/>
      <c r="J21" s="137">
        <f>(COUNTIF(J7:J20, "X"))/((COUNTA($C$7:$C$20))-(COUNTA(L7:L20)))</f>
        <v>0</v>
      </c>
      <c r="K21" s="138"/>
      <c r="L21" s="139"/>
      <c r="M21" s="137">
        <f>(COUNTIF(M7:M20, "X"))/((COUNTA($C$7:$C$20))-(COUNTA(O7:O20)))</f>
        <v>0</v>
      </c>
      <c r="N21" s="138"/>
      <c r="O21" s="139"/>
      <c r="P21" s="137">
        <f>(COUNTIF(P7:P20, "X"))/((COUNTA($C$7:$C$20))-(COUNTA(R7:R20)))</f>
        <v>0</v>
      </c>
      <c r="Q21" s="138"/>
      <c r="R21" s="139"/>
      <c r="S21" s="137">
        <f>(COUNTIF(S7:S20, "X"))/((COUNTA($C$7:$C$20))-(COUNTA(U7:U20)))</f>
        <v>0</v>
      </c>
      <c r="T21" s="138"/>
      <c r="U21" s="139"/>
    </row>
    <row r="22" spans="2:21" ht="14.4" customHeight="1">
      <c r="B22" s="96" t="s">
        <v>188</v>
      </c>
      <c r="C22" s="96" t="s">
        <v>48</v>
      </c>
      <c r="D22" s="88">
        <v>46058</v>
      </c>
      <c r="E22" s="83" t="s">
        <v>233</v>
      </c>
      <c r="F22" s="27"/>
      <c r="G22" s="80">
        <v>46076</v>
      </c>
      <c r="H22" s="26" t="s">
        <v>232</v>
      </c>
      <c r="I22" s="27"/>
      <c r="J22" s="25"/>
      <c r="K22" s="26"/>
      <c r="L22" s="27"/>
      <c r="M22" s="25"/>
      <c r="N22" s="26"/>
      <c r="O22" s="27"/>
      <c r="P22" s="25"/>
      <c r="Q22" s="26"/>
      <c r="R22" s="27"/>
      <c r="S22" s="25"/>
      <c r="T22" s="26"/>
      <c r="U22" s="27"/>
    </row>
    <row r="23" spans="2:21" ht="15.6">
      <c r="B23" s="84">
        <v>1</v>
      </c>
      <c r="C23" s="72" t="s">
        <v>83</v>
      </c>
      <c r="D23" s="84" t="s">
        <v>72</v>
      </c>
      <c r="E23" s="85"/>
      <c r="F23" s="12"/>
      <c r="G23" s="11" t="s">
        <v>72</v>
      </c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84">
        <v>2</v>
      </c>
      <c r="C24" s="72" t="s">
        <v>84</v>
      </c>
      <c r="D24" s="84"/>
      <c r="E24" s="85" t="s">
        <v>72</v>
      </c>
      <c r="F24" s="12"/>
      <c r="G24" s="11" t="s">
        <v>72</v>
      </c>
      <c r="H24" s="2"/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84">
        <v>3</v>
      </c>
      <c r="C25" s="72" t="s">
        <v>147</v>
      </c>
      <c r="D25" s="84"/>
      <c r="E25" s="85" t="s">
        <v>72</v>
      </c>
      <c r="F25" s="12"/>
      <c r="G25" s="11"/>
      <c r="H25" s="2" t="s">
        <v>72</v>
      </c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84">
        <v>4</v>
      </c>
      <c r="C26" s="72" t="s">
        <v>148</v>
      </c>
      <c r="D26" s="84"/>
      <c r="E26" s="85" t="s">
        <v>72</v>
      </c>
      <c r="F26" s="12"/>
      <c r="G26" s="11" t="s">
        <v>72</v>
      </c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84">
        <v>5</v>
      </c>
      <c r="C27" s="72" t="s">
        <v>194</v>
      </c>
      <c r="D27" s="84" t="s">
        <v>72</v>
      </c>
      <c r="E27" s="85"/>
      <c r="F27" s="12"/>
      <c r="G27" s="11" t="s">
        <v>72</v>
      </c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84">
        <v>6</v>
      </c>
      <c r="C28" s="72" t="s">
        <v>85</v>
      </c>
      <c r="D28" s="84" t="s">
        <v>72</v>
      </c>
      <c r="E28" s="85"/>
      <c r="F28" s="12"/>
      <c r="G28" s="11" t="s">
        <v>72</v>
      </c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84">
        <v>7</v>
      </c>
      <c r="C29" s="72" t="s">
        <v>86</v>
      </c>
      <c r="D29" s="84" t="s">
        <v>72</v>
      </c>
      <c r="E29" s="85"/>
      <c r="F29" s="12"/>
      <c r="G29" s="93" t="s">
        <v>72</v>
      </c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84">
        <v>8</v>
      </c>
      <c r="C30" s="72" t="s">
        <v>87</v>
      </c>
      <c r="D30" s="84" t="s">
        <v>72</v>
      </c>
      <c r="E30" s="85"/>
      <c r="F30" s="12"/>
      <c r="G30" s="11" t="s">
        <v>72</v>
      </c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5.6">
      <c r="B31" s="84">
        <v>9</v>
      </c>
      <c r="C31" s="72" t="s">
        <v>88</v>
      </c>
      <c r="D31" s="84" t="s">
        <v>72</v>
      </c>
      <c r="E31" s="85"/>
      <c r="F31" s="12"/>
      <c r="G31" s="11" t="s">
        <v>72</v>
      </c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.6">
      <c r="B32" s="84">
        <v>10</v>
      </c>
      <c r="C32" s="72" t="s">
        <v>195</v>
      </c>
      <c r="D32" s="84" t="s">
        <v>72</v>
      </c>
      <c r="E32" s="85"/>
      <c r="F32" s="12"/>
      <c r="G32" s="93" t="s">
        <v>72</v>
      </c>
      <c r="H32" s="2"/>
      <c r="I32" s="12"/>
      <c r="J32" s="11"/>
      <c r="K32" s="2"/>
      <c r="L32" s="12"/>
      <c r="M32" s="11"/>
      <c r="N32" s="2"/>
      <c r="O32" s="12"/>
      <c r="P32" s="11"/>
      <c r="Q32" s="2"/>
      <c r="R32" s="12"/>
      <c r="S32" s="11"/>
      <c r="T32" s="2"/>
      <c r="U32" s="12"/>
    </row>
    <row r="33" spans="2:21" ht="15.6">
      <c r="B33" s="84">
        <v>11</v>
      </c>
      <c r="C33" s="72" t="s">
        <v>192</v>
      </c>
      <c r="D33" s="84" t="s">
        <v>72</v>
      </c>
      <c r="E33" s="85"/>
      <c r="F33" s="12"/>
      <c r="G33" s="11"/>
      <c r="H33" s="2" t="s">
        <v>72</v>
      </c>
      <c r="I33" s="12"/>
      <c r="J33" s="11"/>
      <c r="K33" s="2"/>
      <c r="L33" s="12"/>
      <c r="M33" s="11"/>
      <c r="N33" s="2"/>
      <c r="O33" s="12"/>
      <c r="P33" s="11"/>
      <c r="Q33" s="2"/>
      <c r="R33" s="12"/>
      <c r="S33" s="11"/>
      <c r="T33" s="2"/>
      <c r="U33" s="12"/>
    </row>
    <row r="34" spans="2:21" ht="15.6">
      <c r="B34" s="84">
        <v>12</v>
      </c>
      <c r="C34" s="72" t="s">
        <v>108</v>
      </c>
      <c r="D34" s="86" t="s">
        <v>72</v>
      </c>
      <c r="E34" s="87"/>
      <c r="F34" s="24"/>
      <c r="G34" s="22" t="s">
        <v>72</v>
      </c>
      <c r="H34" s="23"/>
      <c r="I34" s="24"/>
      <c r="J34" s="22"/>
      <c r="K34" s="23"/>
      <c r="L34" s="24"/>
      <c r="M34" s="22"/>
      <c r="N34" s="23"/>
      <c r="O34" s="24"/>
      <c r="P34" s="22"/>
      <c r="Q34" s="23"/>
      <c r="R34" s="24"/>
      <c r="S34" s="22"/>
      <c r="T34" s="23"/>
      <c r="U34" s="24"/>
    </row>
    <row r="35" spans="2:21" ht="15.6">
      <c r="B35" s="84">
        <v>13</v>
      </c>
      <c r="C35" s="72" t="s">
        <v>184</v>
      </c>
      <c r="D35" s="86" t="s">
        <v>72</v>
      </c>
      <c r="E35" s="87"/>
      <c r="F35" s="24"/>
      <c r="G35" s="22"/>
      <c r="H35" s="23" t="s">
        <v>72</v>
      </c>
      <c r="I35" s="24"/>
      <c r="J35" s="22"/>
      <c r="K35" s="23"/>
      <c r="L35" s="24"/>
      <c r="M35" s="22"/>
      <c r="N35" s="23"/>
      <c r="O35" s="24"/>
      <c r="P35" s="22"/>
      <c r="Q35" s="23"/>
      <c r="R35" s="24"/>
      <c r="S35" s="22"/>
      <c r="T35" s="23"/>
      <c r="U35" s="24"/>
    </row>
    <row r="36" spans="2:21" ht="15.6">
      <c r="B36" s="84">
        <v>14</v>
      </c>
      <c r="C36" s="72" t="s">
        <v>146</v>
      </c>
      <c r="D36" s="86" t="s">
        <v>72</v>
      </c>
      <c r="E36" s="87"/>
      <c r="F36" s="24"/>
      <c r="G36" s="22" t="s">
        <v>72</v>
      </c>
      <c r="H36" s="23"/>
      <c r="I36" s="24"/>
      <c r="J36" s="22"/>
      <c r="K36" s="23"/>
      <c r="L36" s="24"/>
      <c r="M36" s="22"/>
      <c r="N36" s="23"/>
      <c r="O36" s="24"/>
      <c r="P36" s="22"/>
      <c r="Q36" s="23"/>
      <c r="R36" s="24"/>
      <c r="S36" s="22"/>
      <c r="T36" s="23"/>
      <c r="U36" s="24"/>
    </row>
    <row r="37" spans="2:21" ht="16.2" thickBot="1">
      <c r="B37" s="84">
        <v>15</v>
      </c>
      <c r="C37" s="72" t="s">
        <v>170</v>
      </c>
      <c r="D37" s="86" t="s">
        <v>72</v>
      </c>
      <c r="E37" s="87"/>
      <c r="F37" s="24"/>
      <c r="G37" s="22" t="s">
        <v>72</v>
      </c>
      <c r="H37" s="23"/>
      <c r="I37" s="24"/>
      <c r="J37" s="22"/>
      <c r="K37" s="23"/>
      <c r="L37" s="24"/>
      <c r="M37" s="22"/>
      <c r="N37" s="23"/>
      <c r="O37" s="24"/>
      <c r="P37" s="22"/>
      <c r="Q37" s="23"/>
      <c r="R37" s="24"/>
      <c r="S37" s="22"/>
      <c r="T37" s="23"/>
      <c r="U37" s="24"/>
    </row>
    <row r="38" spans="2:21" ht="15" thickBot="1">
      <c r="B38" s="142" t="s">
        <v>14</v>
      </c>
      <c r="C38" s="143"/>
      <c r="D38" s="137">
        <f>(COUNTIF(D23:D37, "X"))/((COUNTA($C$23:$C$37))-(COUNTA(F23:F37)))</f>
        <v>0.8</v>
      </c>
      <c r="E38" s="138"/>
      <c r="F38" s="139"/>
      <c r="G38" s="137">
        <f>(COUNTIF(G23:G37, "X"))/((COUNTA($C$23:$C$37))-(COUNTA(I23:I37)))</f>
        <v>0.8</v>
      </c>
      <c r="H38" s="138"/>
      <c r="I38" s="139"/>
      <c r="J38" s="137">
        <f>(COUNTIF(J23:J37, "X"))/((COUNTA($C$23:$C$37))-(COUNTA(L23:L37)))</f>
        <v>0</v>
      </c>
      <c r="K38" s="138"/>
      <c r="L38" s="139"/>
      <c r="M38" s="137">
        <f>(COUNTIF(M23:M37, "X"))/((COUNTA($C$23:$C$37))-(COUNTA(O23:O37)))</f>
        <v>0</v>
      </c>
      <c r="N38" s="138"/>
      <c r="O38" s="139"/>
      <c r="P38" s="137">
        <f>(COUNTIF(P23:P37, "X"))/((COUNTA($C$23:$C$37))-(COUNTA(R23:R37)))</f>
        <v>0</v>
      </c>
      <c r="Q38" s="138"/>
      <c r="R38" s="139"/>
      <c r="S38" s="137">
        <f>(COUNTIF(S23:S37, "X"))/((COUNTA($C$23:$C$37))-(COUNTA(U23:U37)))</f>
        <v>0</v>
      </c>
      <c r="T38" s="138"/>
      <c r="U38" s="139"/>
    </row>
    <row r="39" spans="2:21" ht="14.4" customHeight="1">
      <c r="B39" s="103" t="s">
        <v>188</v>
      </c>
      <c r="C39" s="103" t="s">
        <v>93</v>
      </c>
      <c r="D39" s="80">
        <v>46081</v>
      </c>
      <c r="E39" s="28"/>
      <c r="F39" s="27"/>
      <c r="G39" s="80"/>
      <c r="H39" s="28"/>
      <c r="I39" s="27"/>
      <c r="J39" s="25"/>
      <c r="K39" s="28"/>
      <c r="L39" s="27"/>
      <c r="M39" s="25"/>
      <c r="N39" s="28"/>
      <c r="O39" s="27"/>
      <c r="P39" s="25"/>
      <c r="Q39" s="28"/>
      <c r="R39" s="27"/>
      <c r="S39" s="25"/>
      <c r="T39" s="28"/>
      <c r="U39" s="27"/>
    </row>
    <row r="40" spans="2:21" ht="15.6">
      <c r="B40" s="11">
        <v>1</v>
      </c>
      <c r="C40" s="73" t="s">
        <v>234</v>
      </c>
      <c r="D40" s="11" t="s">
        <v>72</v>
      </c>
      <c r="E40" s="2"/>
      <c r="F40" s="12"/>
      <c r="G40" s="11"/>
      <c r="H40" s="2"/>
      <c r="I40" s="12"/>
      <c r="J40" s="11"/>
      <c r="K40" s="2"/>
      <c r="L40" s="12"/>
      <c r="M40" s="11"/>
      <c r="N40" s="2"/>
      <c r="O40" s="12"/>
      <c r="P40" s="11"/>
      <c r="Q40" s="2"/>
      <c r="R40" s="12"/>
      <c r="S40" s="11"/>
      <c r="T40" s="2"/>
      <c r="U40" s="12"/>
    </row>
    <row r="41" spans="2:21" ht="15.6">
      <c r="B41" s="11">
        <v>2</v>
      </c>
      <c r="C41" s="72" t="s">
        <v>90</v>
      </c>
      <c r="D41" s="2"/>
      <c r="E41" s="12" t="s">
        <v>72</v>
      </c>
      <c r="F41" s="12"/>
      <c r="G41" s="11"/>
      <c r="H41" s="2"/>
      <c r="I41" s="12"/>
      <c r="J41" s="2"/>
      <c r="K41" s="12"/>
      <c r="L41" s="12"/>
      <c r="M41" s="11"/>
      <c r="N41" s="2"/>
      <c r="O41" s="12"/>
      <c r="P41" s="11"/>
      <c r="Q41" s="2"/>
      <c r="R41" s="12"/>
      <c r="S41" s="11"/>
      <c r="T41" s="2"/>
      <c r="U41" s="12"/>
    </row>
    <row r="42" spans="2:21" ht="15.6">
      <c r="B42" s="11">
        <v>3</v>
      </c>
      <c r="C42" s="72" t="s">
        <v>91</v>
      </c>
      <c r="D42" s="2"/>
      <c r="E42" s="12" t="s">
        <v>72</v>
      </c>
      <c r="F42" s="12"/>
      <c r="G42" s="11"/>
      <c r="H42" s="2"/>
      <c r="I42" s="12"/>
      <c r="J42" s="2"/>
      <c r="K42" s="12"/>
      <c r="L42" s="12"/>
      <c r="M42" s="11"/>
      <c r="N42" s="2"/>
      <c r="O42" s="12"/>
      <c r="P42" s="11"/>
      <c r="Q42" s="2"/>
      <c r="R42" s="12"/>
      <c r="S42" s="11"/>
      <c r="T42" s="2"/>
      <c r="U42" s="12"/>
    </row>
    <row r="43" spans="2:21" ht="15.6">
      <c r="B43" s="11">
        <v>4</v>
      </c>
      <c r="C43" s="72" t="s">
        <v>109</v>
      </c>
      <c r="D43" s="2" t="s">
        <v>72</v>
      </c>
      <c r="E43" s="12"/>
      <c r="F43" s="12"/>
      <c r="G43" s="11"/>
      <c r="H43" s="2"/>
      <c r="I43" s="12"/>
      <c r="J43" s="2"/>
      <c r="K43" s="12"/>
      <c r="L43" s="12"/>
      <c r="M43" s="11"/>
      <c r="N43" s="2"/>
      <c r="O43" s="12"/>
      <c r="P43" s="11"/>
      <c r="Q43" s="2"/>
      <c r="R43" s="12"/>
      <c r="S43" s="11"/>
      <c r="T43" s="2"/>
      <c r="U43" s="12"/>
    </row>
    <row r="44" spans="2:21" ht="15.6">
      <c r="B44" s="11">
        <v>5</v>
      </c>
      <c r="C44" s="72" t="s">
        <v>92</v>
      </c>
      <c r="D44" s="2" t="s">
        <v>72</v>
      </c>
      <c r="E44" s="12"/>
      <c r="F44" s="12"/>
      <c r="G44" s="11"/>
      <c r="H44" s="2"/>
      <c r="I44" s="12"/>
      <c r="J44" s="2"/>
      <c r="K44" s="12"/>
      <c r="L44" s="12"/>
      <c r="M44" s="11"/>
      <c r="N44" s="2"/>
      <c r="O44" s="12"/>
      <c r="P44" s="11"/>
      <c r="Q44" s="2"/>
      <c r="R44" s="12"/>
      <c r="S44" s="11"/>
      <c r="T44" s="2"/>
      <c r="U44" s="12"/>
    </row>
    <row r="45" spans="2:21" ht="15.6">
      <c r="B45" s="11">
        <v>6</v>
      </c>
      <c r="C45" s="72" t="s">
        <v>114</v>
      </c>
      <c r="D45" s="23"/>
      <c r="E45" s="24" t="s">
        <v>72</v>
      </c>
      <c r="F45" s="24"/>
      <c r="G45" s="22"/>
      <c r="H45" s="23"/>
      <c r="I45" s="24"/>
      <c r="J45" s="23"/>
      <c r="K45" s="24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7</v>
      </c>
      <c r="C46" s="72" t="s">
        <v>180</v>
      </c>
      <c r="D46" s="23" t="s">
        <v>72</v>
      </c>
      <c r="E46" s="24"/>
      <c r="F46" s="24"/>
      <c r="G46" s="22"/>
      <c r="H46" s="23"/>
      <c r="I46" s="24"/>
      <c r="J46" s="23"/>
      <c r="K46" s="24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8</v>
      </c>
      <c r="C47" s="72" t="s">
        <v>110</v>
      </c>
      <c r="D47" s="23"/>
      <c r="E47" s="24" t="s">
        <v>72</v>
      </c>
      <c r="F47" s="24"/>
      <c r="G47" s="104"/>
      <c r="H47" s="23"/>
      <c r="I47" s="24"/>
      <c r="J47" s="23"/>
      <c r="K47" s="24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5.6">
      <c r="B48" s="11">
        <v>9</v>
      </c>
      <c r="C48" s="72" t="s">
        <v>112</v>
      </c>
      <c r="D48" s="23" t="s">
        <v>72</v>
      </c>
      <c r="E48" s="24"/>
      <c r="F48" s="24"/>
      <c r="G48" s="22"/>
      <c r="H48" s="23"/>
      <c r="I48" s="24"/>
      <c r="J48" s="23"/>
      <c r="K48" s="24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.6">
      <c r="B49" s="11">
        <v>10</v>
      </c>
      <c r="C49" s="72" t="s">
        <v>115</v>
      </c>
      <c r="D49" s="23" t="s">
        <v>72</v>
      </c>
      <c r="E49" s="24"/>
      <c r="F49" s="24"/>
      <c r="G49" s="22"/>
      <c r="H49" s="23"/>
      <c r="I49" s="24"/>
      <c r="J49" s="23"/>
      <c r="K49" s="24"/>
      <c r="L49" s="24"/>
      <c r="M49" s="22"/>
      <c r="N49" s="23"/>
      <c r="O49" s="24"/>
      <c r="P49" s="22"/>
      <c r="Q49" s="23"/>
      <c r="R49" s="24"/>
      <c r="S49" s="22"/>
      <c r="T49" s="23"/>
      <c r="U49" s="24"/>
    </row>
    <row r="50" spans="2:21" ht="15.6">
      <c r="B50" s="11">
        <v>11</v>
      </c>
      <c r="C50" s="72" t="s">
        <v>113</v>
      </c>
      <c r="D50" s="23" t="s">
        <v>72</v>
      </c>
      <c r="E50" s="24"/>
      <c r="F50" s="24"/>
      <c r="G50" s="22"/>
      <c r="H50" s="23"/>
      <c r="I50" s="24"/>
      <c r="J50" s="23"/>
      <c r="K50" s="24"/>
      <c r="L50" s="24"/>
      <c r="M50" s="22"/>
      <c r="N50" s="23"/>
      <c r="O50" s="24"/>
      <c r="P50" s="22"/>
      <c r="Q50" s="23"/>
      <c r="R50" s="24"/>
      <c r="S50" s="22"/>
      <c r="T50" s="23"/>
      <c r="U50" s="24"/>
    </row>
    <row r="51" spans="2:21" ht="15.6">
      <c r="B51" s="11">
        <v>12</v>
      </c>
      <c r="C51" s="72" t="s">
        <v>142</v>
      </c>
      <c r="D51" s="23" t="s">
        <v>72</v>
      </c>
      <c r="E51" s="24"/>
      <c r="F51" s="24"/>
      <c r="G51" s="22"/>
      <c r="H51" s="23"/>
      <c r="I51" s="24"/>
      <c r="J51" s="23"/>
      <c r="K51" s="24"/>
      <c r="L51" s="24"/>
      <c r="M51" s="22"/>
      <c r="N51" s="23"/>
      <c r="O51" s="24"/>
      <c r="P51" s="22"/>
      <c r="Q51" s="23"/>
      <c r="R51" s="24"/>
      <c r="S51" s="22"/>
      <c r="T51" s="23"/>
      <c r="U51" s="24"/>
    </row>
    <row r="52" spans="2:21" ht="15.6">
      <c r="B52" s="11">
        <v>13</v>
      </c>
      <c r="C52" s="72" t="s">
        <v>197</v>
      </c>
      <c r="D52" s="23" t="s">
        <v>72</v>
      </c>
      <c r="E52" s="24"/>
      <c r="F52" s="24"/>
      <c r="G52" s="22"/>
      <c r="H52" s="23"/>
      <c r="I52" s="24"/>
      <c r="J52" s="23"/>
      <c r="K52" s="24"/>
      <c r="L52" s="24"/>
      <c r="M52" s="22"/>
      <c r="N52" s="23"/>
      <c r="O52" s="24"/>
      <c r="P52" s="22"/>
      <c r="Q52" s="23"/>
      <c r="R52" s="24"/>
      <c r="S52" s="22"/>
      <c r="T52" s="23"/>
      <c r="U52" s="24"/>
    </row>
    <row r="53" spans="2:21" ht="15.6">
      <c r="B53" s="11">
        <v>14</v>
      </c>
      <c r="C53" s="72" t="s">
        <v>209</v>
      </c>
      <c r="D53" s="23" t="s">
        <v>72</v>
      </c>
      <c r="E53" s="24"/>
      <c r="F53" s="24"/>
      <c r="G53" s="22"/>
      <c r="H53" s="23"/>
      <c r="I53" s="24"/>
      <c r="J53" s="23"/>
      <c r="K53" s="24"/>
      <c r="L53" s="24"/>
      <c r="M53" s="22"/>
      <c r="N53" s="23"/>
      <c r="O53" s="24"/>
      <c r="P53" s="22"/>
      <c r="Q53" s="23"/>
      <c r="R53" s="24"/>
      <c r="S53" s="22"/>
      <c r="T53" s="23"/>
      <c r="U53" s="24"/>
    </row>
    <row r="54" spans="2:21" ht="15.6">
      <c r="B54" s="11">
        <v>15</v>
      </c>
      <c r="C54" s="72" t="s">
        <v>198</v>
      </c>
      <c r="D54" s="23" t="s">
        <v>72</v>
      </c>
      <c r="E54" s="24"/>
      <c r="F54" s="24"/>
      <c r="G54" s="22"/>
      <c r="H54" s="23"/>
      <c r="I54" s="24"/>
      <c r="J54" s="23"/>
      <c r="K54" s="24"/>
      <c r="L54" s="24"/>
      <c r="M54" s="22"/>
      <c r="N54" s="23"/>
      <c r="O54" s="24"/>
      <c r="P54" s="22"/>
      <c r="Q54" s="23"/>
      <c r="R54" s="24"/>
      <c r="S54" s="22"/>
      <c r="T54" s="23"/>
      <c r="U54" s="24"/>
    </row>
    <row r="55" spans="2:21" ht="16.2" thickBot="1">
      <c r="B55" s="11">
        <v>16</v>
      </c>
      <c r="C55" s="72" t="s">
        <v>173</v>
      </c>
      <c r="D55" s="23" t="s">
        <v>72</v>
      </c>
      <c r="E55" s="24"/>
      <c r="F55" s="24"/>
      <c r="G55" s="22"/>
      <c r="H55" s="23"/>
      <c r="I55" s="24"/>
      <c r="J55" s="23"/>
      <c r="K55" s="24"/>
      <c r="L55" s="24"/>
      <c r="M55" s="22"/>
      <c r="N55" s="23"/>
      <c r="O55" s="24"/>
      <c r="P55" s="22"/>
      <c r="Q55" s="23"/>
      <c r="R55" s="24"/>
      <c r="S55" s="22"/>
      <c r="T55" s="23"/>
      <c r="U55" s="24"/>
    </row>
    <row r="56" spans="2:21" ht="15" customHeight="1" thickBot="1">
      <c r="B56" s="102"/>
      <c r="C56" s="102" t="s">
        <v>14</v>
      </c>
      <c r="D56" s="99">
        <f>(COUNTIF(D40:D55, "X"))/((COUNTA($C$40:$C$55))-(COUNTA(F40:F55)))</f>
        <v>0.75</v>
      </c>
      <c r="E56" s="100"/>
      <c r="F56" s="101"/>
      <c r="G56" s="99">
        <f>(COUNTIF(G40:G55, "X"))/((COUNTA($C$40:$C$55))-(COUNTA(I40:I55)))</f>
        <v>0</v>
      </c>
      <c r="H56" s="100"/>
      <c r="I56" s="101"/>
      <c r="J56" s="137">
        <f>(COUNTIF(J40:J55, "X"))/((COUNTA($C$40:$C$55))-(COUNTA(L40:L55)))</f>
        <v>0</v>
      </c>
      <c r="K56" s="138"/>
      <c r="L56" s="139"/>
      <c r="M56" s="137">
        <f>(COUNTIF(M40:M55, "X"))/((COUNTA($C$40:$C$55))-(COUNTA(O40:O55)))</f>
        <v>0</v>
      </c>
      <c r="N56" s="138"/>
      <c r="O56" s="139"/>
      <c r="P56" s="137">
        <f>(COUNTIF(P40:P55, "X"))/((COUNTA($C$40:$C$55))-(COUNTA(R40:R55)))</f>
        <v>0</v>
      </c>
      <c r="Q56" s="138"/>
      <c r="R56" s="139"/>
      <c r="S56" s="137">
        <f>(COUNTIF(S40:S55, "X"))/((COUNTA($C$40:$C$55))-(COUNTA(U40:U55)))</f>
        <v>0</v>
      </c>
      <c r="T56" s="138"/>
      <c r="U56" s="139"/>
    </row>
    <row r="57" spans="2:21">
      <c r="B57" s="147" t="s">
        <v>95</v>
      </c>
      <c r="C57" s="148"/>
      <c r="D57" s="25"/>
      <c r="E57" s="28"/>
      <c r="F57" s="27"/>
      <c r="G57" s="25"/>
      <c r="H57" s="28"/>
      <c r="I57" s="27"/>
      <c r="J57" s="25"/>
      <c r="K57" s="28"/>
      <c r="L57" s="27"/>
      <c r="M57" s="25"/>
      <c r="N57" s="28"/>
      <c r="O57" s="27"/>
      <c r="P57" s="25"/>
      <c r="Q57" s="28"/>
      <c r="R57" s="27"/>
      <c r="S57" s="25"/>
      <c r="T57" s="28"/>
      <c r="U57" s="27"/>
    </row>
    <row r="58" spans="2:21" ht="15.6">
      <c r="B58" s="11">
        <v>1</v>
      </c>
      <c r="C58" s="72" t="s">
        <v>199</v>
      </c>
      <c r="D58" s="11"/>
      <c r="E58" s="2"/>
      <c r="F58" s="12"/>
      <c r="G58" s="11"/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2</v>
      </c>
      <c r="C59" s="72" t="s">
        <v>200</v>
      </c>
      <c r="D59" s="11"/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3</v>
      </c>
      <c r="C60" s="72" t="s">
        <v>94</v>
      </c>
      <c r="D60" s="11"/>
      <c r="E60" s="2"/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 ht="15.6">
      <c r="B61" s="11">
        <v>4</v>
      </c>
      <c r="C61" s="72" t="s">
        <v>201</v>
      </c>
      <c r="D61" s="11"/>
      <c r="E61" s="2"/>
      <c r="F61" s="12"/>
      <c r="G61" s="11"/>
      <c r="H61" s="2"/>
      <c r="I61" s="12"/>
      <c r="J61" s="11"/>
      <c r="K61" s="2"/>
      <c r="L61" s="12"/>
      <c r="M61" s="11"/>
      <c r="N61" s="2"/>
      <c r="O61" s="12"/>
      <c r="P61" s="11"/>
      <c r="Q61" s="2"/>
      <c r="R61" s="12"/>
      <c r="S61" s="11"/>
      <c r="T61" s="2"/>
      <c r="U61" s="12"/>
    </row>
    <row r="62" spans="2:21">
      <c r="B62" s="142" t="s">
        <v>14</v>
      </c>
      <c r="C62" s="143"/>
      <c r="D62" s="144">
        <f>(COUNTIF(D58:D61, "X"))/((COUNTA($C$58:$C$61))-(COUNTA(F58:F61)))</f>
        <v>0</v>
      </c>
      <c r="E62" s="145"/>
      <c r="F62" s="146"/>
      <c r="G62" s="144">
        <f>(COUNTIF(G58:G61, "X"))/((COUNTA($C$58:$C$61))-(COUNTA(I58:I61)))</f>
        <v>0</v>
      </c>
      <c r="H62" s="145"/>
      <c r="I62" s="146"/>
      <c r="J62" s="144">
        <f>(COUNTIF(J58:J61, "X"))/((COUNTA($C$58:$C$61))-(COUNTA(L58:L61)))</f>
        <v>0</v>
      </c>
      <c r="K62" s="145"/>
      <c r="L62" s="146"/>
      <c r="M62" s="144">
        <f>(COUNTIF(M58:M61, "X"))/((COUNTA($C$58:$C$61))-(COUNTA(O58:O61)))</f>
        <v>0</v>
      </c>
      <c r="N62" s="145"/>
      <c r="O62" s="146"/>
      <c r="P62" s="144">
        <f>(COUNTIF(P58:P61, "X"))/((COUNTA($C$58:$C$61))-(COUNTA(R58:R61)))</f>
        <v>0</v>
      </c>
      <c r="Q62" s="145"/>
      <c r="R62" s="146"/>
      <c r="S62" s="144">
        <f>(COUNTIF(S58:S61, "X"))/((COUNTA($C$58:$C$61))-(COUNTA(U58:U61)))</f>
        <v>0</v>
      </c>
      <c r="T62" s="145"/>
      <c r="U62" s="146"/>
    </row>
    <row r="63" spans="2:21">
      <c r="B63" s="147" t="s">
        <v>120</v>
      </c>
      <c r="C63" s="148"/>
      <c r="D63" s="78">
        <v>46055</v>
      </c>
      <c r="E63" s="5"/>
      <c r="F63" s="17"/>
      <c r="G63" s="78">
        <v>45707</v>
      </c>
      <c r="H63" s="5"/>
      <c r="I63" s="17"/>
      <c r="J63" s="16"/>
      <c r="K63" s="5"/>
      <c r="L63" s="17"/>
      <c r="M63" s="16"/>
      <c r="N63" s="5"/>
      <c r="O63" s="17"/>
      <c r="P63" s="16"/>
      <c r="Q63" s="5"/>
      <c r="R63" s="17"/>
      <c r="S63" s="16"/>
      <c r="T63" s="5"/>
      <c r="U63" s="17"/>
    </row>
    <row r="64" spans="2:21" ht="15.6">
      <c r="B64" s="11">
        <v>1</v>
      </c>
      <c r="C64" s="72" t="s">
        <v>202</v>
      </c>
      <c r="D64" s="11" t="s">
        <v>72</v>
      </c>
      <c r="E64" s="2"/>
      <c r="F64" s="12"/>
      <c r="G64" s="11" t="s">
        <v>72</v>
      </c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2</v>
      </c>
      <c r="C65" s="72" t="s">
        <v>124</v>
      </c>
      <c r="D65" s="11" t="s">
        <v>72</v>
      </c>
      <c r="E65" s="2"/>
      <c r="F65" s="12"/>
      <c r="G65" s="11" t="s">
        <v>72</v>
      </c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3</v>
      </c>
      <c r="C66" s="72" t="s">
        <v>121</v>
      </c>
      <c r="D66" s="11" t="s">
        <v>72</v>
      </c>
      <c r="E66" s="2"/>
      <c r="F66" s="12"/>
      <c r="G66" s="11" t="s">
        <v>72</v>
      </c>
      <c r="H66" s="2"/>
      <c r="I66" s="12"/>
      <c r="J66" s="11"/>
      <c r="K66" s="2"/>
      <c r="L66" s="12"/>
      <c r="M66" s="11"/>
      <c r="N66" s="2"/>
      <c r="O66" s="12"/>
      <c r="P66" s="11"/>
      <c r="Q66" s="2"/>
      <c r="R66" s="12"/>
      <c r="S66" s="11"/>
      <c r="T66" s="2"/>
      <c r="U66" s="12"/>
    </row>
    <row r="67" spans="2:21" ht="15.6">
      <c r="B67" s="11">
        <v>4</v>
      </c>
      <c r="C67" s="74" t="s">
        <v>122</v>
      </c>
      <c r="D67" s="22" t="s">
        <v>72</v>
      </c>
      <c r="E67" s="23"/>
      <c r="F67" s="24"/>
      <c r="G67" s="22" t="s">
        <v>72</v>
      </c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5</v>
      </c>
      <c r="C68" s="74" t="s">
        <v>116</v>
      </c>
      <c r="D68" s="22" t="s">
        <v>72</v>
      </c>
      <c r="E68" s="23"/>
      <c r="F68" s="24"/>
      <c r="G68" s="22" t="s">
        <v>72</v>
      </c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6</v>
      </c>
      <c r="C69" s="74" t="s">
        <v>203</v>
      </c>
      <c r="D69" s="22" t="s">
        <v>72</v>
      </c>
      <c r="E69" s="23"/>
      <c r="F69" s="24"/>
      <c r="G69" s="22" t="s">
        <v>72</v>
      </c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7</v>
      </c>
      <c r="C70" s="74" t="s">
        <v>117</v>
      </c>
      <c r="D70" s="22" t="s">
        <v>72</v>
      </c>
      <c r="E70" s="23"/>
      <c r="F70" s="24"/>
      <c r="G70" s="22" t="s">
        <v>72</v>
      </c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8</v>
      </c>
      <c r="C71" s="74" t="s">
        <v>123</v>
      </c>
      <c r="D71" s="22" t="s">
        <v>72</v>
      </c>
      <c r="E71" s="23"/>
      <c r="F71" s="24"/>
      <c r="G71" s="22" t="s">
        <v>72</v>
      </c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9</v>
      </c>
      <c r="C72" s="74" t="s">
        <v>210</v>
      </c>
      <c r="D72" s="22" t="s">
        <v>72</v>
      </c>
      <c r="E72" s="23"/>
      <c r="F72" s="24"/>
      <c r="G72" s="22" t="s">
        <v>72</v>
      </c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10</v>
      </c>
      <c r="C73" s="77" t="s">
        <v>184</v>
      </c>
      <c r="D73" s="22" t="s">
        <v>72</v>
      </c>
      <c r="E73" s="23"/>
      <c r="F73" s="24"/>
      <c r="G73" s="22" t="s">
        <v>72</v>
      </c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192</v>
      </c>
      <c r="D74" s="22"/>
      <c r="E74" s="23" t="s">
        <v>72</v>
      </c>
      <c r="F74" s="24"/>
      <c r="G74" s="22" t="s">
        <v>72</v>
      </c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5.6">
      <c r="B75" s="11">
        <v>13</v>
      </c>
      <c r="C75" s="77" t="s">
        <v>145</v>
      </c>
      <c r="D75" s="22" t="s">
        <v>72</v>
      </c>
      <c r="E75" s="23"/>
      <c r="F75" s="24"/>
      <c r="G75" s="22"/>
      <c r="H75" s="23" t="s">
        <v>72</v>
      </c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 ht="16.2" thickBot="1">
      <c r="B76" s="11">
        <v>14</v>
      </c>
      <c r="C76" s="72" t="s">
        <v>170</v>
      </c>
      <c r="D76" s="82"/>
      <c r="E76" s="23" t="s">
        <v>72</v>
      </c>
      <c r="F76" s="24"/>
      <c r="G76" s="22" t="s">
        <v>72</v>
      </c>
      <c r="H76" s="23"/>
      <c r="I76" s="24"/>
      <c r="J76" s="22"/>
      <c r="K76" s="23"/>
      <c r="L76" s="24"/>
      <c r="M76" s="22"/>
      <c r="N76" s="23"/>
      <c r="O76" s="24"/>
      <c r="P76" s="22"/>
      <c r="Q76" s="23"/>
      <c r="R76" s="24"/>
      <c r="S76" s="22"/>
      <c r="T76" s="23"/>
      <c r="U76" s="24"/>
    </row>
    <row r="77" spans="2:21">
      <c r="B77" s="142" t="s">
        <v>14</v>
      </c>
      <c r="C77" s="143"/>
      <c r="D77" s="149">
        <f>(COUNTIF(D64:D76, "X"))/((COUNTA($C$64:$C$76))-(COUNTA(F64:F76)))</f>
        <v>0.84615384615384615</v>
      </c>
      <c r="E77" s="150"/>
      <c r="F77" s="151"/>
      <c r="G77" s="149">
        <f>(COUNTIF(G64:G76, "X"))/((COUNTA($C$64:$C$76))-(COUNTA(I64:I76)))</f>
        <v>0.92307692307692313</v>
      </c>
      <c r="H77" s="150"/>
      <c r="I77" s="151"/>
      <c r="J77" s="149">
        <f>(COUNTIF(J64:J76, "X"))/((COUNTA($C$64:$C$76))-(COUNTA(L64:L76)))</f>
        <v>0</v>
      </c>
      <c r="K77" s="150"/>
      <c r="L77" s="151"/>
      <c r="M77" s="149">
        <f>(COUNTIF(M64:M76, "X"))/((COUNTA($C$64:$C$72))-(COUNTA(O64:O76)))</f>
        <v>0</v>
      </c>
      <c r="N77" s="150"/>
      <c r="O77" s="151"/>
      <c r="P77" s="149">
        <f>(COUNTIF(P64:P76, "X"))/((COUNTA($C$64:$C$72))-(COUNTA(R64:R76)))</f>
        <v>0</v>
      </c>
      <c r="Q77" s="150"/>
      <c r="R77" s="151"/>
      <c r="S77" s="149">
        <f>(COUNTIF(S64:S76, "X"))/((COUNTA($C$64:$C$72))-(COUNTA(U64:U76)))</f>
        <v>0</v>
      </c>
      <c r="T77" s="150"/>
      <c r="U77" s="151"/>
    </row>
    <row r="78" spans="2:21" ht="15" thickBot="1">
      <c r="B78" s="147" t="s">
        <v>99</v>
      </c>
      <c r="C78" s="148"/>
      <c r="D78" s="32"/>
      <c r="E78" s="33"/>
      <c r="F78" s="34"/>
      <c r="G78" s="32"/>
      <c r="H78" s="33"/>
      <c r="I78" s="34"/>
      <c r="J78" s="32"/>
      <c r="K78" s="33"/>
      <c r="L78" s="34"/>
      <c r="M78" s="32"/>
      <c r="N78" s="33"/>
      <c r="O78" s="34"/>
      <c r="P78" s="32"/>
      <c r="Q78" s="33"/>
      <c r="R78" s="34"/>
      <c r="S78" s="32"/>
      <c r="T78" s="33"/>
      <c r="U78" s="34"/>
    </row>
    <row r="79" spans="2:21" ht="15.6">
      <c r="B79" s="11">
        <v>1</v>
      </c>
      <c r="C79" s="72" t="s">
        <v>97</v>
      </c>
      <c r="D79" s="29"/>
      <c r="E79" s="30"/>
      <c r="F79" s="31"/>
      <c r="G79" s="29"/>
      <c r="H79" s="30"/>
      <c r="I79" s="31"/>
      <c r="J79" s="29"/>
      <c r="K79" s="30"/>
      <c r="L79" s="31"/>
      <c r="M79" s="29"/>
      <c r="N79" s="30"/>
      <c r="O79" s="31"/>
      <c r="P79" s="29"/>
      <c r="Q79" s="30"/>
      <c r="R79" s="31"/>
      <c r="S79" s="29"/>
      <c r="T79" s="30"/>
      <c r="U79" s="31"/>
    </row>
    <row r="80" spans="2:21" ht="15.6">
      <c r="B80" s="11">
        <v>2</v>
      </c>
      <c r="C80" s="72" t="s">
        <v>211</v>
      </c>
      <c r="D80" s="11"/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3</v>
      </c>
      <c r="C81" s="72" t="s">
        <v>98</v>
      </c>
      <c r="D81" s="11"/>
      <c r="E81" s="2"/>
      <c r="F81" s="12"/>
      <c r="G81" s="11"/>
      <c r="H81" s="2"/>
      <c r="I81" s="12"/>
      <c r="J81" s="11"/>
      <c r="K81" s="2"/>
      <c r="L81" s="12"/>
      <c r="M81" s="11"/>
      <c r="N81" s="2"/>
      <c r="O81" s="12"/>
      <c r="P81" s="11"/>
      <c r="Q81" s="2"/>
      <c r="R81" s="12"/>
      <c r="S81" s="11"/>
      <c r="T81" s="2"/>
      <c r="U81" s="12"/>
    </row>
    <row r="82" spans="2:21" ht="16.2" thickBot="1">
      <c r="B82" s="11">
        <v>4</v>
      </c>
      <c r="C82" s="74" t="s">
        <v>170</v>
      </c>
      <c r="D82" s="22"/>
      <c r="E82" s="23"/>
      <c r="F82" s="24"/>
      <c r="G82" s="22"/>
      <c r="H82" s="23"/>
      <c r="I82" s="24"/>
      <c r="J82" s="22"/>
      <c r="K82" s="23"/>
      <c r="L82" s="24"/>
      <c r="M82" s="22"/>
      <c r="N82" s="23"/>
      <c r="O82" s="24"/>
      <c r="P82" s="22"/>
      <c r="Q82" s="23"/>
      <c r="R82" s="24"/>
      <c r="S82" s="22"/>
      <c r="T82" s="23"/>
      <c r="U82" s="24"/>
    </row>
    <row r="83" spans="2:21" ht="15" thickBot="1">
      <c r="B83" s="152" t="s">
        <v>14</v>
      </c>
      <c r="C83" s="153"/>
      <c r="D83" s="137">
        <f>(COUNTIF(D79:D82, "X"))/((COUNTA($C$79:$C$82))-(COUNTA(F79:F82)))</f>
        <v>0</v>
      </c>
      <c r="E83" s="138"/>
      <c r="F83" s="139"/>
      <c r="G83" s="137">
        <f>(COUNTIF(G79:G82, "X"))/((COUNTA($C$79:$C$82))-(COUNTA(I79:I82)))</f>
        <v>0</v>
      </c>
      <c r="H83" s="138"/>
      <c r="I83" s="139"/>
      <c r="J83" s="137">
        <f>(COUNTIF(J79:J82, "X"))/((COUNTA($C$79:$C$82))-(COUNTA(L79:L82)))</f>
        <v>0</v>
      </c>
      <c r="K83" s="138"/>
      <c r="L83" s="139"/>
      <c r="M83" s="137">
        <f>(COUNTIF(M79:M82, "X"))/((COUNTA($C$79:$C$82))-(COUNTA(O79:O82)))</f>
        <v>0</v>
      </c>
      <c r="N83" s="138"/>
      <c r="O83" s="139"/>
      <c r="P83" s="137">
        <f>(COUNTIF(P79:P82, "X"))/((COUNTA($C$79:$C$82))-(COUNTA(R79:R82)))</f>
        <v>0</v>
      </c>
      <c r="Q83" s="138"/>
      <c r="R83" s="139"/>
      <c r="S83" s="137">
        <f>(COUNTIF(S79:S82, "X"))/((COUNTA($C$79:$C$82))-(COUNTA(U79:U82)))</f>
        <v>0</v>
      </c>
      <c r="T83" s="138"/>
      <c r="U83" s="139"/>
    </row>
    <row r="84" spans="2:21" ht="14.4" customHeight="1">
      <c r="B84" s="97" t="s">
        <v>188</v>
      </c>
      <c r="C84" s="97" t="s">
        <v>103</v>
      </c>
      <c r="D84" s="80">
        <v>46339</v>
      </c>
      <c r="E84" s="26"/>
      <c r="F84" s="27"/>
      <c r="G84" s="80">
        <v>46079</v>
      </c>
      <c r="H84" s="26"/>
      <c r="I84" s="27"/>
      <c r="J84" s="80"/>
      <c r="K84" s="26"/>
      <c r="L84" s="27"/>
      <c r="M84" s="25"/>
      <c r="N84" s="26"/>
      <c r="O84" s="27"/>
      <c r="P84" s="25"/>
      <c r="Q84" s="26"/>
      <c r="R84" s="27"/>
      <c r="S84" s="25"/>
      <c r="T84" s="26"/>
      <c r="U84" s="27"/>
    </row>
    <row r="85" spans="2:21" ht="15.6">
      <c r="B85" s="11">
        <v>1</v>
      </c>
      <c r="C85" s="72" t="s">
        <v>83</v>
      </c>
      <c r="D85" s="11" t="s">
        <v>72</v>
      </c>
      <c r="E85" s="2"/>
      <c r="F85" s="12"/>
      <c r="G85" s="11" t="s">
        <v>72</v>
      </c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2</v>
      </c>
      <c r="C86" s="72" t="s">
        <v>107</v>
      </c>
      <c r="D86" s="11" t="s">
        <v>72</v>
      </c>
      <c r="E86" s="2"/>
      <c r="F86" s="12"/>
      <c r="G86" s="11" t="s">
        <v>72</v>
      </c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3</v>
      </c>
      <c r="C87" s="72" t="s">
        <v>104</v>
      </c>
      <c r="D87" s="11"/>
      <c r="E87" s="2" t="s">
        <v>72</v>
      </c>
      <c r="F87" s="12"/>
      <c r="G87" s="11"/>
      <c r="H87" s="2" t="s">
        <v>72</v>
      </c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4</v>
      </c>
      <c r="C88" s="72" t="s">
        <v>105</v>
      </c>
      <c r="D88" s="11" t="s">
        <v>72</v>
      </c>
      <c r="E88" s="2"/>
      <c r="F88" s="12"/>
      <c r="G88" s="11" t="s">
        <v>72</v>
      </c>
      <c r="H88" s="2"/>
      <c r="I88" s="12"/>
      <c r="J88" s="11"/>
      <c r="K88" s="2"/>
      <c r="L88" s="12"/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5</v>
      </c>
      <c r="C89" s="72" t="s">
        <v>194</v>
      </c>
      <c r="D89" s="11" t="s">
        <v>72</v>
      </c>
      <c r="E89" s="2"/>
      <c r="F89" s="12"/>
      <c r="G89" s="11" t="s">
        <v>72</v>
      </c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6</v>
      </c>
      <c r="C90" s="72" t="s">
        <v>212</v>
      </c>
      <c r="D90" s="11" t="s">
        <v>72</v>
      </c>
      <c r="E90" s="2"/>
      <c r="F90" s="12"/>
      <c r="G90" s="93" t="s">
        <v>72</v>
      </c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7</v>
      </c>
      <c r="C91" s="72" t="s">
        <v>106</v>
      </c>
      <c r="D91" s="11" t="s">
        <v>72</v>
      </c>
      <c r="E91" s="2"/>
      <c r="F91" s="12"/>
      <c r="G91" s="11" t="s">
        <v>72</v>
      </c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8</v>
      </c>
      <c r="C92" s="72" t="s">
        <v>161</v>
      </c>
      <c r="D92" s="11"/>
      <c r="E92" s="2" t="s">
        <v>72</v>
      </c>
      <c r="F92" s="12"/>
      <c r="G92" s="11" t="s">
        <v>72</v>
      </c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9</v>
      </c>
      <c r="C93" s="72" t="s">
        <v>88</v>
      </c>
      <c r="D93" s="11" t="s">
        <v>72</v>
      </c>
      <c r="E93" s="2"/>
      <c r="F93" s="12"/>
      <c r="G93" s="11" t="s">
        <v>72</v>
      </c>
      <c r="H93" s="2"/>
      <c r="I93" s="12"/>
      <c r="J93" s="11"/>
      <c r="K93" s="2"/>
      <c r="L93" s="12"/>
      <c r="M93" s="11"/>
      <c r="N93" s="2"/>
      <c r="O93" s="12"/>
      <c r="P93" s="11"/>
      <c r="Q93" s="2"/>
      <c r="R93" s="12"/>
      <c r="S93" s="11"/>
      <c r="T93" s="2"/>
      <c r="U93" s="12"/>
    </row>
    <row r="94" spans="2:21" ht="15.6">
      <c r="B94" s="11">
        <v>10</v>
      </c>
      <c r="C94" s="72" t="s">
        <v>150</v>
      </c>
      <c r="D94" s="11"/>
      <c r="E94" s="2" t="s">
        <v>72</v>
      </c>
      <c r="F94" s="12"/>
      <c r="G94" s="11" t="s">
        <v>72</v>
      </c>
      <c r="H94" s="2"/>
      <c r="I94" s="12"/>
      <c r="J94" s="11"/>
      <c r="K94" s="2"/>
      <c r="L94" s="12"/>
      <c r="M94" s="11"/>
      <c r="N94" s="2"/>
      <c r="O94" s="12"/>
      <c r="P94" s="11"/>
      <c r="Q94" s="2"/>
      <c r="R94" s="12"/>
      <c r="S94" s="11"/>
      <c r="T94" s="2"/>
      <c r="U94" s="12"/>
    </row>
    <row r="95" spans="2:21" ht="15.6">
      <c r="B95" s="11">
        <v>11</v>
      </c>
      <c r="C95" s="72" t="s">
        <v>195</v>
      </c>
      <c r="D95" s="11" t="s">
        <v>72</v>
      </c>
      <c r="E95" s="2"/>
      <c r="F95" s="12"/>
      <c r="G95" s="11" t="s">
        <v>72</v>
      </c>
      <c r="H95" s="2"/>
      <c r="I95" s="12"/>
      <c r="J95" s="11"/>
      <c r="K95" s="2"/>
      <c r="L95" s="12"/>
      <c r="M95" s="11"/>
      <c r="N95" s="2"/>
      <c r="O95" s="12"/>
      <c r="P95" s="11"/>
      <c r="Q95" s="2"/>
      <c r="R95" s="12"/>
      <c r="S95" s="11"/>
      <c r="T95" s="2"/>
      <c r="U95" s="12"/>
    </row>
    <row r="96" spans="2:21" ht="15.6">
      <c r="B96" s="11">
        <v>12</v>
      </c>
      <c r="C96" s="72" t="s">
        <v>192</v>
      </c>
      <c r="D96" s="11" t="s">
        <v>72</v>
      </c>
      <c r="E96" s="2"/>
      <c r="F96" s="12"/>
      <c r="G96" s="11"/>
      <c r="H96" s="2" t="s">
        <v>72</v>
      </c>
      <c r="I96" s="12"/>
      <c r="J96" s="11"/>
      <c r="K96" s="2"/>
      <c r="L96" s="12"/>
      <c r="M96" s="11"/>
      <c r="N96" s="2"/>
      <c r="O96" s="12"/>
      <c r="P96" s="11"/>
      <c r="Q96" s="2"/>
      <c r="R96" s="12"/>
      <c r="S96" s="11"/>
      <c r="T96" s="2"/>
      <c r="U96" s="12"/>
    </row>
    <row r="97" spans="2:21" ht="15.6">
      <c r="B97" s="11">
        <v>13</v>
      </c>
      <c r="C97" s="72" t="s">
        <v>184</v>
      </c>
      <c r="D97" s="22" t="s">
        <v>72</v>
      </c>
      <c r="E97" s="23"/>
      <c r="F97" s="24"/>
      <c r="G97" s="22" t="s">
        <v>72</v>
      </c>
      <c r="H97" s="23"/>
      <c r="I97" s="24"/>
      <c r="J97" s="22"/>
      <c r="K97" s="23"/>
      <c r="L97" s="24"/>
      <c r="M97" s="22"/>
      <c r="N97" s="23"/>
      <c r="O97" s="24"/>
      <c r="P97" s="22"/>
      <c r="Q97" s="23"/>
      <c r="R97" s="24"/>
      <c r="S97" s="22"/>
      <c r="T97" s="23"/>
      <c r="U97" s="24"/>
    </row>
    <row r="98" spans="2:21" ht="15.6">
      <c r="B98" s="11">
        <v>14</v>
      </c>
      <c r="C98" s="72" t="s">
        <v>230</v>
      </c>
      <c r="D98" s="22" t="s">
        <v>72</v>
      </c>
      <c r="E98" s="23"/>
      <c r="F98" s="24"/>
      <c r="G98" s="22" t="s">
        <v>72</v>
      </c>
      <c r="H98" s="23"/>
      <c r="I98" s="24"/>
      <c r="J98" s="22"/>
      <c r="K98" s="23"/>
      <c r="L98" s="24"/>
      <c r="M98" s="22"/>
      <c r="N98" s="23"/>
      <c r="O98" s="24"/>
      <c r="P98" s="22"/>
      <c r="Q98" s="23"/>
      <c r="R98" s="24"/>
      <c r="S98" s="22"/>
      <c r="T98" s="23"/>
      <c r="U98" s="24"/>
    </row>
    <row r="99" spans="2:21" ht="15.6">
      <c r="B99" s="11">
        <v>15</v>
      </c>
      <c r="C99" s="72" t="s">
        <v>149</v>
      </c>
      <c r="D99" s="22"/>
      <c r="E99" s="23" t="s">
        <v>72</v>
      </c>
      <c r="F99" s="24"/>
      <c r="G99" s="22"/>
      <c r="H99" s="23" t="s">
        <v>72</v>
      </c>
      <c r="I99" s="24"/>
      <c r="J99" s="22"/>
      <c r="K99" s="23"/>
      <c r="L99" s="24"/>
      <c r="M99" s="22"/>
      <c r="N99" s="23"/>
      <c r="O99" s="24"/>
      <c r="P99" s="22"/>
      <c r="Q99" s="23"/>
      <c r="R99" s="24"/>
      <c r="S99" s="22"/>
      <c r="T99" s="23"/>
      <c r="U99" s="24"/>
    </row>
    <row r="100" spans="2:21" ht="16.2" thickBot="1">
      <c r="B100" s="11">
        <v>16</v>
      </c>
      <c r="C100" s="72" t="s">
        <v>170</v>
      </c>
      <c r="D100" s="22" t="s">
        <v>72</v>
      </c>
      <c r="E100" s="23"/>
      <c r="F100" s="24"/>
      <c r="G100" s="22"/>
      <c r="H100" s="23" t="s">
        <v>72</v>
      </c>
      <c r="I100" s="24"/>
      <c r="J100" s="22"/>
      <c r="K100" s="23"/>
      <c r="L100" s="24"/>
      <c r="M100" s="22"/>
      <c r="N100" s="23"/>
      <c r="O100" s="24"/>
      <c r="P100" s="22"/>
      <c r="Q100" s="23"/>
      <c r="R100" s="24"/>
      <c r="S100" s="22"/>
      <c r="T100" s="23"/>
      <c r="U100" s="24"/>
    </row>
    <row r="101" spans="2:21" ht="15" thickBot="1">
      <c r="B101" s="142" t="s">
        <v>14</v>
      </c>
      <c r="C101" s="143"/>
      <c r="D101" s="137">
        <f>(COUNTIF(D85:D100, "X"))/((COUNTA($C$85:$C$100))-(COUNTA(F85:F100)))</f>
        <v>0.75</v>
      </c>
      <c r="E101" s="138"/>
      <c r="F101" s="139"/>
      <c r="G101" s="137">
        <f>(COUNTIF(G85:G100, "X"))/((COUNTA($C$85:$C$100))-(COUNTA(I85:I100)))</f>
        <v>0.75</v>
      </c>
      <c r="H101" s="138"/>
      <c r="I101" s="139"/>
      <c r="J101" s="137">
        <f>(COUNTIF(J85:J100, "X"))/((COUNTA($C$85:$C$100))-(COUNTA(L85:L100)))</f>
        <v>0</v>
      </c>
      <c r="K101" s="138"/>
      <c r="L101" s="139"/>
      <c r="M101" s="137">
        <f>(COUNTIF(M85:M100, "X"))/((COUNTA($C$23:$C$37))-(COUNTA(O85:O100)))</f>
        <v>0</v>
      </c>
      <c r="N101" s="138"/>
      <c r="O101" s="139"/>
      <c r="P101" s="137">
        <f>(COUNTIF(P85:P100, "X"))/((COUNTA($C$23:$C$37))-(COUNTA(R85:R100)))</f>
        <v>0</v>
      </c>
      <c r="Q101" s="138"/>
      <c r="R101" s="139"/>
      <c r="S101" s="137">
        <f>(COUNTIF(S85:S100, "X"))/((COUNTA($C$23:$C$37))-(COUNTA(U85:U100)))</f>
        <v>0</v>
      </c>
      <c r="T101" s="138"/>
      <c r="U101" s="139"/>
    </row>
    <row r="102" spans="2:21" ht="14.4" customHeight="1">
      <c r="B102" s="94" t="s">
        <v>188</v>
      </c>
      <c r="C102" s="94" t="s">
        <v>231</v>
      </c>
      <c r="D102" s="78">
        <v>46056</v>
      </c>
      <c r="E102" s="5"/>
      <c r="F102" s="17"/>
      <c r="G102" s="78"/>
      <c r="H102" s="5"/>
      <c r="I102" s="17"/>
      <c r="J102" s="16"/>
      <c r="K102" s="5"/>
      <c r="L102" s="17"/>
      <c r="M102" s="16"/>
      <c r="N102" s="5"/>
      <c r="O102" s="17"/>
      <c r="P102" s="16"/>
      <c r="Q102" s="5"/>
      <c r="R102" s="17"/>
      <c r="S102" s="16"/>
      <c r="T102" s="5"/>
      <c r="U102" s="17"/>
    </row>
    <row r="103" spans="2:21" ht="15.6">
      <c r="B103" s="11">
        <v>1</v>
      </c>
      <c r="C103" s="72" t="s">
        <v>205</v>
      </c>
      <c r="D103" s="11" t="s">
        <v>72</v>
      </c>
      <c r="E103" s="2"/>
      <c r="F103" s="12"/>
      <c r="G103" s="11"/>
      <c r="H103" s="2"/>
      <c r="I103" s="12"/>
      <c r="J103" s="11"/>
      <c r="K103" s="2"/>
      <c r="L103" s="12"/>
      <c r="M103" s="11"/>
      <c r="N103" s="2"/>
      <c r="O103" s="12"/>
      <c r="P103" s="11"/>
      <c r="Q103" s="2"/>
      <c r="R103" s="12"/>
      <c r="S103" s="11"/>
      <c r="T103" s="2"/>
      <c r="U103" s="12"/>
    </row>
    <row r="104" spans="2:21" ht="15.6">
      <c r="B104" s="11">
        <v>2</v>
      </c>
      <c r="C104" s="72" t="s">
        <v>206</v>
      </c>
      <c r="D104" s="11" t="s">
        <v>72</v>
      </c>
      <c r="E104" s="2"/>
      <c r="F104" s="12"/>
      <c r="G104" s="11"/>
      <c r="H104" s="2"/>
      <c r="I104" s="12"/>
      <c r="J104" s="11"/>
      <c r="K104" s="2"/>
      <c r="L104" s="12"/>
      <c r="M104" s="11"/>
      <c r="N104" s="2"/>
      <c r="O104" s="12"/>
      <c r="P104" s="11"/>
      <c r="Q104" s="2"/>
      <c r="R104" s="12"/>
      <c r="S104" s="11"/>
      <c r="T104" s="2"/>
      <c r="U104" s="12"/>
    </row>
    <row r="105" spans="2:21" ht="15.6">
      <c r="B105" s="11">
        <v>3</v>
      </c>
      <c r="C105" s="72" t="s">
        <v>96</v>
      </c>
      <c r="D105" s="11"/>
      <c r="E105" s="2" t="s">
        <v>72</v>
      </c>
      <c r="F105" s="12"/>
      <c r="G105" s="11"/>
      <c r="H105" s="2"/>
      <c r="I105" s="12"/>
      <c r="J105" s="11"/>
      <c r="K105" s="2"/>
      <c r="L105" s="12"/>
      <c r="M105" s="11"/>
      <c r="N105" s="2"/>
      <c r="O105" s="12"/>
      <c r="P105" s="11"/>
      <c r="Q105" s="2"/>
      <c r="R105" s="12"/>
      <c r="S105" s="11"/>
      <c r="T105" s="2"/>
      <c r="U105" s="12"/>
    </row>
    <row r="106" spans="2:21" ht="15.6">
      <c r="B106" s="11">
        <v>4</v>
      </c>
      <c r="C106" s="74" t="s">
        <v>226</v>
      </c>
      <c r="D106" s="22" t="s">
        <v>72</v>
      </c>
      <c r="E106" s="23"/>
      <c r="F106" s="24"/>
      <c r="G106" s="22"/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5.6">
      <c r="B107" s="11">
        <v>5</v>
      </c>
      <c r="C107" s="74" t="s">
        <v>227</v>
      </c>
      <c r="D107" s="22" t="s">
        <v>72</v>
      </c>
      <c r="E107" s="23"/>
      <c r="F107" s="24"/>
      <c r="G107" s="22"/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 ht="15.6">
      <c r="B108" s="11">
        <v>6</v>
      </c>
      <c r="C108" s="74" t="s">
        <v>125</v>
      </c>
      <c r="D108" s="22" t="s">
        <v>72</v>
      </c>
      <c r="E108" s="23"/>
      <c r="F108" s="24"/>
      <c r="G108" s="22"/>
      <c r="H108" s="23"/>
      <c r="I108" s="24"/>
      <c r="J108" s="22"/>
      <c r="K108" s="23"/>
      <c r="L108" s="24"/>
      <c r="M108" s="22"/>
      <c r="N108" s="23"/>
      <c r="O108" s="24"/>
      <c r="P108" s="22"/>
      <c r="Q108" s="23"/>
      <c r="R108" s="24"/>
      <c r="S108" s="22"/>
      <c r="T108" s="23"/>
      <c r="U108" s="24"/>
    </row>
    <row r="109" spans="2:21" ht="15.6">
      <c r="B109" s="11">
        <v>7</v>
      </c>
      <c r="C109" s="74" t="s">
        <v>119</v>
      </c>
      <c r="D109" s="22" t="s">
        <v>72</v>
      </c>
      <c r="E109" s="23"/>
      <c r="F109" s="24"/>
      <c r="G109" s="22"/>
      <c r="H109" s="23"/>
      <c r="I109" s="24"/>
      <c r="J109" s="22"/>
      <c r="K109" s="23"/>
      <c r="L109" s="24"/>
      <c r="M109" s="22"/>
      <c r="N109" s="23"/>
      <c r="O109" s="24"/>
      <c r="P109" s="22"/>
      <c r="Q109" s="23"/>
      <c r="R109" s="24"/>
      <c r="S109" s="22"/>
      <c r="T109" s="23"/>
      <c r="U109" s="24"/>
    </row>
    <row r="110" spans="2:21" ht="15.6">
      <c r="B110" s="11">
        <v>8</v>
      </c>
      <c r="C110" s="74" t="s">
        <v>224</v>
      </c>
      <c r="D110" s="22" t="s">
        <v>72</v>
      </c>
      <c r="E110" s="23"/>
      <c r="F110" s="24"/>
      <c r="G110" s="22"/>
      <c r="H110" s="23"/>
      <c r="I110" s="24"/>
      <c r="J110" s="22"/>
      <c r="K110" s="23"/>
      <c r="L110" s="24"/>
      <c r="M110" s="22"/>
      <c r="N110" s="23"/>
      <c r="O110" s="24"/>
      <c r="P110" s="22"/>
      <c r="Q110" s="23"/>
      <c r="R110" s="24"/>
      <c r="S110" s="22"/>
      <c r="T110" s="23"/>
      <c r="U110" s="24"/>
    </row>
    <row r="111" spans="2:21" ht="15.6">
      <c r="B111" s="11">
        <v>9</v>
      </c>
      <c r="C111" s="74" t="s">
        <v>207</v>
      </c>
      <c r="D111" s="22" t="s">
        <v>72</v>
      </c>
      <c r="E111" s="23"/>
      <c r="F111" s="24"/>
      <c r="G111" s="22"/>
      <c r="H111" s="23"/>
      <c r="I111" s="24"/>
      <c r="J111" s="22"/>
      <c r="K111" s="23"/>
      <c r="L111" s="24"/>
      <c r="M111" s="22"/>
      <c r="N111" s="23"/>
      <c r="O111" s="24"/>
      <c r="P111" s="22"/>
      <c r="Q111" s="23"/>
      <c r="R111" s="24"/>
      <c r="S111" s="22"/>
      <c r="T111" s="23"/>
      <c r="U111" s="24"/>
    </row>
    <row r="112" spans="2:21" ht="15.6">
      <c r="B112" s="11">
        <v>10</v>
      </c>
      <c r="C112" s="74" t="s">
        <v>225</v>
      </c>
      <c r="D112" s="22" t="s">
        <v>72</v>
      </c>
      <c r="E112" s="23"/>
      <c r="F112" s="24"/>
      <c r="G112" s="22"/>
      <c r="H112" s="23"/>
      <c r="I112" s="24"/>
      <c r="J112" s="22"/>
      <c r="K112" s="23"/>
      <c r="L112" s="24"/>
      <c r="M112" s="22"/>
      <c r="N112" s="23"/>
      <c r="O112" s="24"/>
      <c r="P112" s="22"/>
      <c r="Q112" s="23"/>
      <c r="R112" s="24"/>
      <c r="S112" s="22"/>
      <c r="T112" s="23"/>
      <c r="U112" s="24"/>
    </row>
    <row r="113" spans="2:21" ht="15.6">
      <c r="B113" s="11">
        <v>11</v>
      </c>
      <c r="C113" s="74" t="s">
        <v>208</v>
      </c>
      <c r="D113" s="22" t="s">
        <v>72</v>
      </c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12</v>
      </c>
      <c r="C114" s="74" t="s">
        <v>223</v>
      </c>
      <c r="D114" s="22"/>
      <c r="E114" s="23" t="s">
        <v>72</v>
      </c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6.2" thickBot="1">
      <c r="B115" s="11">
        <v>13</v>
      </c>
      <c r="C115" s="74" t="s">
        <v>180</v>
      </c>
      <c r="D115" s="22"/>
      <c r="E115" s="23" t="s">
        <v>72</v>
      </c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>
      <c r="B116" s="142" t="s">
        <v>14</v>
      </c>
      <c r="C116" s="143"/>
      <c r="D116" s="149">
        <f>(COUNTIF(D103:D115, "X"))/((COUNTA($C$103:$C$115))-(COUNTA(F103:F115)))</f>
        <v>0.76923076923076927</v>
      </c>
      <c r="E116" s="150"/>
      <c r="F116" s="151"/>
      <c r="G116" s="149">
        <f>(COUNTIF(G103:G115, "X"))/((COUNTA($C$103:$C$115))-(COUNTA(I103:I115)))</f>
        <v>0</v>
      </c>
      <c r="H116" s="150"/>
      <c r="I116" s="151"/>
      <c r="J116" s="149">
        <f>(COUNTIF(J103:J115, "X"))/((COUNTA($C$64:$C$72))-(COUNTA(L103:L115)))</f>
        <v>0</v>
      </c>
      <c r="K116" s="150"/>
      <c r="L116" s="151"/>
      <c r="M116" s="149">
        <f>(COUNTIF(M103:M115, "X"))/((COUNTA($C$64:$C$72))-(COUNTA(O103:O115)))</f>
        <v>0</v>
      </c>
      <c r="N116" s="150"/>
      <c r="O116" s="151"/>
      <c r="P116" s="149">
        <f>(COUNTIF(P103:P115, "X"))/((COUNTA($C$64:$C$72))-(COUNTA(R103:R115)))</f>
        <v>0</v>
      </c>
      <c r="Q116" s="150"/>
      <c r="R116" s="151"/>
      <c r="S116" s="149">
        <f>(COUNTIF(S103:S115, "X"))/((COUNTA($C$64:$C$72))-(COUNTA(U103:U115)))</f>
        <v>0</v>
      </c>
      <c r="T116" s="150"/>
      <c r="U116" s="151"/>
    </row>
  </sheetData>
  <mergeCells count="64">
    <mergeCell ref="S3:U4"/>
    <mergeCell ref="B5:C5"/>
    <mergeCell ref="B21:C21"/>
    <mergeCell ref="D21:F21"/>
    <mergeCell ref="G21:I21"/>
    <mergeCell ref="J21:L21"/>
    <mergeCell ref="M21:O21"/>
    <mergeCell ref="P21:R21"/>
    <mergeCell ref="S21:U21"/>
    <mergeCell ref="B3:C4"/>
    <mergeCell ref="E3:F4"/>
    <mergeCell ref="H3:I4"/>
    <mergeCell ref="K3:L4"/>
    <mergeCell ref="N3:O4"/>
    <mergeCell ref="Q3:R4"/>
    <mergeCell ref="B57:C57"/>
    <mergeCell ref="B38:C38"/>
    <mergeCell ref="D38:F38"/>
    <mergeCell ref="G38:I38"/>
    <mergeCell ref="J38:L38"/>
    <mergeCell ref="S38:U38"/>
    <mergeCell ref="J56:L56"/>
    <mergeCell ref="M56:O56"/>
    <mergeCell ref="P56:R56"/>
    <mergeCell ref="S56:U56"/>
    <mergeCell ref="M38:O38"/>
    <mergeCell ref="P38:R38"/>
    <mergeCell ref="S62:U62"/>
    <mergeCell ref="B63:C63"/>
    <mergeCell ref="B77:C77"/>
    <mergeCell ref="D77:F77"/>
    <mergeCell ref="G77:I77"/>
    <mergeCell ref="J77:L77"/>
    <mergeCell ref="M77:O77"/>
    <mergeCell ref="P77:R77"/>
    <mergeCell ref="S77:U77"/>
    <mergeCell ref="B62:C62"/>
    <mergeCell ref="D62:F62"/>
    <mergeCell ref="G62:I62"/>
    <mergeCell ref="J62:L62"/>
    <mergeCell ref="M62:O62"/>
    <mergeCell ref="P62:R62"/>
    <mergeCell ref="B78:C78"/>
    <mergeCell ref="B83:C83"/>
    <mergeCell ref="D83:F83"/>
    <mergeCell ref="G83:I83"/>
    <mergeCell ref="J83:L83"/>
    <mergeCell ref="P83:R83"/>
    <mergeCell ref="S83:U83"/>
    <mergeCell ref="B101:C101"/>
    <mergeCell ref="D101:F101"/>
    <mergeCell ref="G101:I101"/>
    <mergeCell ref="J101:L101"/>
    <mergeCell ref="M101:O101"/>
    <mergeCell ref="P101:R101"/>
    <mergeCell ref="S101:U101"/>
    <mergeCell ref="M83:O83"/>
    <mergeCell ref="S116:U116"/>
    <mergeCell ref="B116:C116"/>
    <mergeCell ref="D116:F116"/>
    <mergeCell ref="G116:I116"/>
    <mergeCell ref="J116:L116"/>
    <mergeCell ref="M116:O116"/>
    <mergeCell ref="P116:R1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FD18-4203-4BCF-8B44-1BE505164D83}">
  <dimension ref="B1:X120"/>
  <sheetViews>
    <sheetView showGridLines="0" zoomScale="99" zoomScaleNormal="90" workbookViewId="0">
      <pane xSplit="3" ySplit="5" topLeftCell="D60" activePane="bottomRight" state="frozen"/>
      <selection pane="topRight" activeCell="D1" sqref="D1"/>
      <selection pane="bottomLeft" activeCell="A7" sqref="A7"/>
      <selection pane="bottomRight" activeCell="E79" sqref="E79"/>
    </sheetView>
  </sheetViews>
  <sheetFormatPr baseColWidth="10" defaultRowHeight="14.4"/>
  <cols>
    <col min="1" max="1" width="3.88671875" customWidth="1"/>
    <col min="2" max="2" width="3.33203125" style="1" customWidth="1"/>
    <col min="3" max="3" width="58.77734375" customWidth="1"/>
    <col min="4" max="5" width="11.6640625" customWidth="1"/>
    <col min="6" max="6" width="10.5546875" bestFit="1" customWidth="1"/>
    <col min="7" max="7" width="11.6640625" bestFit="1" customWidth="1"/>
    <col min="8" max="9" width="11.5546875" customWidth="1"/>
    <col min="10" max="10" width="10.5546875" customWidth="1"/>
    <col min="11" max="12" width="11.5546875" customWidth="1"/>
    <col min="13" max="13" width="10.5546875" customWidth="1"/>
    <col min="14" max="15" width="11.5546875" customWidth="1"/>
    <col min="16" max="16" width="10.5546875" customWidth="1"/>
    <col min="17" max="18" width="11.5546875" customWidth="1"/>
    <col min="19" max="19" width="10.5546875" customWidth="1"/>
    <col min="20" max="21" width="11.5546875" customWidth="1"/>
  </cols>
  <sheetData>
    <row r="1" spans="2:24" ht="15" thickBot="1"/>
    <row r="2" spans="2:24">
      <c r="B2" s="117" t="s">
        <v>43</v>
      </c>
      <c r="C2" s="118"/>
      <c r="D2" s="64" t="s">
        <v>0</v>
      </c>
      <c r="E2" s="169">
        <v>46055</v>
      </c>
      <c r="F2" s="170"/>
      <c r="G2" s="64" t="s">
        <v>0</v>
      </c>
      <c r="H2" s="169">
        <v>46055</v>
      </c>
      <c r="I2" s="170"/>
      <c r="J2" s="64" t="s">
        <v>0</v>
      </c>
      <c r="K2" s="169">
        <f t="shared" ref="K2" si="0">H2+1</f>
        <v>46056</v>
      </c>
      <c r="L2" s="170"/>
      <c r="M2" s="64" t="s">
        <v>0</v>
      </c>
      <c r="N2" s="169">
        <f t="shared" ref="N2" si="1">K2+1</f>
        <v>46057</v>
      </c>
      <c r="O2" s="170"/>
      <c r="P2" s="64" t="s">
        <v>0</v>
      </c>
      <c r="Q2" s="169">
        <f t="shared" ref="Q2" si="2">N2+1</f>
        <v>46058</v>
      </c>
      <c r="R2" s="170"/>
      <c r="S2" s="158" t="s">
        <v>100</v>
      </c>
      <c r="T2" s="159"/>
      <c r="U2" s="160"/>
    </row>
    <row r="3" spans="2:24">
      <c r="B3" s="119"/>
      <c r="C3" s="120"/>
      <c r="D3" s="11" t="s">
        <v>1</v>
      </c>
      <c r="E3" s="171"/>
      <c r="F3" s="172"/>
      <c r="G3" s="11" t="s">
        <v>1</v>
      </c>
      <c r="H3" s="171"/>
      <c r="I3" s="172"/>
      <c r="J3" s="11" t="s">
        <v>1</v>
      </c>
      <c r="K3" s="171">
        <v>45916</v>
      </c>
      <c r="L3" s="172"/>
      <c r="M3" s="11" t="s">
        <v>1</v>
      </c>
      <c r="N3" s="171">
        <v>45916</v>
      </c>
      <c r="O3" s="172"/>
      <c r="P3" s="11" t="s">
        <v>1</v>
      </c>
      <c r="Q3" s="171">
        <v>45916</v>
      </c>
      <c r="R3" s="172"/>
      <c r="S3" s="161"/>
      <c r="T3" s="162"/>
      <c r="U3" s="163"/>
    </row>
    <row r="4" spans="2:24">
      <c r="B4" s="131" t="s">
        <v>131</v>
      </c>
      <c r="C4" s="132"/>
      <c r="D4" s="13" t="s">
        <v>2</v>
      </c>
      <c r="E4" s="3" t="s">
        <v>3</v>
      </c>
      <c r="F4" s="65" t="s">
        <v>4</v>
      </c>
      <c r="G4" s="13" t="s">
        <v>2</v>
      </c>
      <c r="H4" s="3" t="s">
        <v>3</v>
      </c>
      <c r="I4" s="65" t="s">
        <v>4</v>
      </c>
      <c r="J4" s="13" t="s">
        <v>2</v>
      </c>
      <c r="K4" s="3" t="s">
        <v>3</v>
      </c>
      <c r="L4" s="65" t="s">
        <v>4</v>
      </c>
      <c r="M4" s="13" t="s">
        <v>2</v>
      </c>
      <c r="N4" s="3" t="s">
        <v>3</v>
      </c>
      <c r="O4" s="65" t="s">
        <v>4</v>
      </c>
      <c r="P4" s="13" t="s">
        <v>2</v>
      </c>
      <c r="Q4" s="3" t="s">
        <v>3</v>
      </c>
      <c r="R4" s="65" t="s">
        <v>4</v>
      </c>
      <c r="S4" s="13" t="s">
        <v>2</v>
      </c>
      <c r="T4" s="3" t="s">
        <v>3</v>
      </c>
      <c r="U4" s="65" t="s">
        <v>4</v>
      </c>
    </row>
    <row r="5" spans="2:24" ht="19.95" customHeight="1">
      <c r="B5" s="80" t="s">
        <v>188</v>
      </c>
      <c r="C5" s="94" t="s">
        <v>129</v>
      </c>
      <c r="D5" s="79">
        <v>46063</v>
      </c>
      <c r="E5" s="4"/>
      <c r="F5" s="15"/>
      <c r="G5" s="79"/>
      <c r="H5" s="4"/>
      <c r="I5" s="15"/>
      <c r="J5" s="14"/>
      <c r="K5" s="4"/>
      <c r="L5" s="15"/>
      <c r="M5" s="14"/>
      <c r="N5" s="4"/>
      <c r="O5" s="15"/>
      <c r="P5" s="14"/>
      <c r="Q5" s="4"/>
      <c r="R5" s="15"/>
      <c r="S5" s="14"/>
      <c r="T5" s="4"/>
      <c r="U5" s="15"/>
      <c r="W5" t="s">
        <v>101</v>
      </c>
      <c r="X5" s="75"/>
    </row>
    <row r="6" spans="2:24" ht="16.95" customHeight="1">
      <c r="B6" s="11">
        <v>1</v>
      </c>
      <c r="C6" s="72" t="s">
        <v>127</v>
      </c>
      <c r="D6" s="11" t="s">
        <v>72</v>
      </c>
      <c r="E6" s="2"/>
      <c r="F6" s="12"/>
      <c r="G6" s="11"/>
      <c r="H6" s="2"/>
      <c r="I6" s="12"/>
      <c r="J6" s="11"/>
      <c r="K6" s="2"/>
      <c r="L6" s="12"/>
      <c r="M6" s="11"/>
      <c r="N6" s="2"/>
      <c r="O6" s="12"/>
      <c r="P6" s="11"/>
      <c r="Q6" s="2"/>
      <c r="R6" s="12"/>
      <c r="S6" s="11"/>
      <c r="T6" s="2"/>
      <c r="U6" s="12"/>
      <c r="W6" t="s">
        <v>102</v>
      </c>
      <c r="X6" s="76"/>
    </row>
    <row r="7" spans="2:24" ht="16.95" customHeight="1">
      <c r="B7" s="11">
        <v>2</v>
      </c>
      <c r="C7" s="72" t="s">
        <v>182</v>
      </c>
      <c r="D7" s="11" t="s">
        <v>72</v>
      </c>
      <c r="E7" s="2"/>
      <c r="F7" s="12"/>
      <c r="G7" s="11"/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</row>
    <row r="8" spans="2:24" ht="16.95" customHeight="1">
      <c r="B8" s="11">
        <v>3</v>
      </c>
      <c r="C8" s="72" t="s">
        <v>183</v>
      </c>
      <c r="D8" s="11" t="s">
        <v>72</v>
      </c>
      <c r="E8" s="2"/>
      <c r="F8" s="12"/>
      <c r="G8" s="11"/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6.95" customHeight="1">
      <c r="B9" s="11">
        <v>4</v>
      </c>
      <c r="C9" s="74" t="s">
        <v>126</v>
      </c>
      <c r="D9" s="11" t="s">
        <v>72</v>
      </c>
      <c r="E9" s="2"/>
      <c r="F9" s="12"/>
      <c r="G9" s="11"/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6.95" customHeight="1">
      <c r="B10" s="11">
        <v>5</v>
      </c>
      <c r="C10" s="74" t="s">
        <v>140</v>
      </c>
      <c r="D10" s="11" t="s">
        <v>72</v>
      </c>
      <c r="E10" s="2"/>
      <c r="F10" s="12"/>
      <c r="G10" s="11"/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6.95" customHeight="1">
      <c r="B11" s="11">
        <v>6</v>
      </c>
      <c r="C11" s="74" t="s">
        <v>184</v>
      </c>
      <c r="D11" s="11" t="s">
        <v>72</v>
      </c>
      <c r="E11" s="2"/>
      <c r="F11" s="12"/>
      <c r="G11" s="11"/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6.95" customHeight="1">
      <c r="B12" s="11">
        <v>7</v>
      </c>
      <c r="C12" s="74" t="s">
        <v>185</v>
      </c>
      <c r="D12" s="11" t="s">
        <v>72</v>
      </c>
      <c r="E12" s="2"/>
      <c r="F12" s="12"/>
      <c r="G12" s="11"/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6.95" customHeight="1">
      <c r="B13" s="11">
        <v>8</v>
      </c>
      <c r="C13" s="74" t="s">
        <v>186</v>
      </c>
      <c r="D13" s="11" t="s">
        <v>72</v>
      </c>
      <c r="E13" s="2"/>
      <c r="F13" s="12"/>
      <c r="G13" s="11"/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</row>
    <row r="14" spans="2:24" ht="16.95" customHeight="1">
      <c r="B14" s="11">
        <v>9</v>
      </c>
      <c r="C14" s="74" t="s">
        <v>128</v>
      </c>
      <c r="D14" s="11" t="s">
        <v>72</v>
      </c>
      <c r="E14" s="2"/>
      <c r="F14" s="12"/>
      <c r="G14" s="11"/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</row>
    <row r="15" spans="2:24" ht="16.95" customHeight="1">
      <c r="B15" s="11">
        <v>10</v>
      </c>
      <c r="C15" s="74" t="s">
        <v>165</v>
      </c>
      <c r="D15" s="22"/>
      <c r="E15" s="23"/>
      <c r="F15" s="24" t="s">
        <v>72</v>
      </c>
      <c r="G15" s="22"/>
      <c r="H15" s="23"/>
      <c r="I15" s="24"/>
      <c r="J15" s="22"/>
      <c r="K15" s="23"/>
      <c r="L15" s="24"/>
      <c r="M15" s="22"/>
      <c r="N15" s="23"/>
      <c r="O15" s="24"/>
      <c r="P15" s="22"/>
      <c r="Q15" s="23"/>
      <c r="R15" s="24"/>
      <c r="S15" s="22"/>
      <c r="T15" s="23"/>
      <c r="U15" s="24"/>
    </row>
    <row r="16" spans="2:24" ht="16.95" customHeight="1" thickBot="1">
      <c r="B16" s="11">
        <v>11</v>
      </c>
      <c r="C16" s="74" t="s">
        <v>180</v>
      </c>
      <c r="D16" s="22" t="s">
        <v>72</v>
      </c>
      <c r="E16" s="23"/>
      <c r="F16" s="24"/>
      <c r="G16" s="22"/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6.95" customHeight="1" thickBot="1">
      <c r="B17" s="135" t="s">
        <v>14</v>
      </c>
      <c r="C17" s="136"/>
      <c r="D17" s="137">
        <f>(COUNTIF(D6:D16, "X"))/((COUNTA($C$6:$C$16))-(COUNTA(F6:F16)))</f>
        <v>1</v>
      </c>
      <c r="E17" s="138"/>
      <c r="F17" s="139"/>
      <c r="G17" s="137">
        <f>(COUNTIF(G6:G16, "X"))/((COUNTA($C$6:$C$16))-(COUNTA(I6:I16)))</f>
        <v>0</v>
      </c>
      <c r="H17" s="138"/>
      <c r="I17" s="139"/>
      <c r="J17" s="137">
        <f>(COUNTIF(J6:J16, "X"))/((COUNTA($C$6:$C$16))-(COUNTA(L6:L16)))</f>
        <v>0</v>
      </c>
      <c r="K17" s="138"/>
      <c r="L17" s="139"/>
      <c r="M17" s="137">
        <f>(COUNTIF(M6:M16, "X"))/((COUNTA($C$6:$C$16))-(COUNTA(O6:O16)))</f>
        <v>0</v>
      </c>
      <c r="N17" s="138"/>
      <c r="O17" s="139"/>
      <c r="P17" s="137">
        <f>(COUNTIF(P6:P16, "X"))/((COUNTA($C$6:$C$16))-(COUNTA(R6:R16)))</f>
        <v>0</v>
      </c>
      <c r="Q17" s="138"/>
      <c r="R17" s="139"/>
      <c r="S17" s="137">
        <f>(COUNTIF(S6:S16, "X"))/((COUNTA($C$6:$C$16))-(COUNTA(U6:U16)))</f>
        <v>0</v>
      </c>
      <c r="T17" s="138"/>
      <c r="U17" s="139"/>
    </row>
    <row r="18" spans="2:21" ht="14.4" customHeight="1">
      <c r="B18" s="95" t="s">
        <v>188</v>
      </c>
      <c r="C18" s="95" t="s">
        <v>130</v>
      </c>
      <c r="D18" s="80">
        <v>46069</v>
      </c>
      <c r="E18" s="26"/>
      <c r="F18" s="27"/>
      <c r="G18" s="80"/>
      <c r="H18" s="26"/>
      <c r="I18" s="27"/>
      <c r="J18" s="25"/>
      <c r="K18" s="26"/>
      <c r="L18" s="27"/>
      <c r="M18" s="25"/>
      <c r="N18" s="26"/>
      <c r="O18" s="27"/>
      <c r="P18" s="25"/>
      <c r="Q18" s="26"/>
      <c r="R18" s="27"/>
      <c r="S18" s="25"/>
      <c r="T18" s="26"/>
      <c r="U18" s="27"/>
    </row>
    <row r="19" spans="2:21" ht="15.6">
      <c r="B19" s="11">
        <v>1</v>
      </c>
      <c r="C19" s="72" t="s">
        <v>127</v>
      </c>
      <c r="D19" s="11" t="s">
        <v>72</v>
      </c>
      <c r="E19" s="2"/>
      <c r="F19" s="12"/>
      <c r="G19" s="11"/>
      <c r="H19" s="2"/>
      <c r="I19" s="12"/>
      <c r="J19" s="11"/>
      <c r="K19" s="2"/>
      <c r="L19" s="12"/>
      <c r="M19" s="11"/>
      <c r="N19" s="2"/>
      <c r="O19" s="12"/>
      <c r="P19" s="11"/>
      <c r="Q19" s="2"/>
      <c r="R19" s="12"/>
      <c r="S19" s="11"/>
      <c r="T19" s="2"/>
      <c r="U19" s="12"/>
    </row>
    <row r="20" spans="2:21" ht="15.6">
      <c r="B20" s="11">
        <v>2</v>
      </c>
      <c r="C20" s="72" t="s">
        <v>182</v>
      </c>
      <c r="D20" s="11" t="s">
        <v>72</v>
      </c>
      <c r="E20" s="2"/>
      <c r="F20" s="12"/>
      <c r="G20" s="11"/>
      <c r="H20" s="2"/>
      <c r="I20" s="12"/>
      <c r="J20" s="11"/>
      <c r="K20" s="2"/>
      <c r="L20" s="12"/>
      <c r="M20" s="11"/>
      <c r="N20" s="2"/>
      <c r="O20" s="12"/>
      <c r="P20" s="11"/>
      <c r="Q20" s="2"/>
      <c r="R20" s="12"/>
      <c r="S20" s="11"/>
      <c r="T20" s="2"/>
      <c r="U20" s="12"/>
    </row>
    <row r="21" spans="2:21" ht="15.6">
      <c r="B21" s="11">
        <v>3</v>
      </c>
      <c r="C21" s="72" t="s">
        <v>183</v>
      </c>
      <c r="D21" s="11" t="s">
        <v>72</v>
      </c>
      <c r="E21" s="2"/>
      <c r="F21" s="12"/>
      <c r="G21" s="11"/>
      <c r="H21" s="2"/>
      <c r="I21" s="12"/>
      <c r="J21" s="11"/>
      <c r="K21" s="2"/>
      <c r="L21" s="12"/>
      <c r="M21" s="11"/>
      <c r="N21" s="2"/>
      <c r="O21" s="12"/>
      <c r="P21" s="11"/>
      <c r="Q21" s="2"/>
      <c r="R21" s="12"/>
      <c r="S21" s="11"/>
      <c r="T21" s="2"/>
      <c r="U21" s="12"/>
    </row>
    <row r="22" spans="2:21" ht="15.6">
      <c r="B22" s="11">
        <v>4</v>
      </c>
      <c r="C22" s="74" t="s">
        <v>126</v>
      </c>
      <c r="D22" s="11" t="s">
        <v>72</v>
      </c>
      <c r="E22" s="2"/>
      <c r="F22" s="12"/>
      <c r="G22" s="11"/>
      <c r="H22" s="2"/>
      <c r="I22" s="12"/>
      <c r="J22" s="11"/>
      <c r="K22" s="2"/>
      <c r="L22" s="12"/>
      <c r="M22" s="11"/>
      <c r="N22" s="2"/>
      <c r="O22" s="12"/>
      <c r="P22" s="11"/>
      <c r="Q22" s="2"/>
      <c r="R22" s="12"/>
      <c r="S22" s="11"/>
      <c r="T22" s="2"/>
      <c r="U22" s="12"/>
    </row>
    <row r="23" spans="2:21" ht="15.6">
      <c r="B23" s="11">
        <v>5</v>
      </c>
      <c r="C23" s="74" t="s">
        <v>140</v>
      </c>
      <c r="D23" s="11" t="s">
        <v>72</v>
      </c>
      <c r="E23" s="2"/>
      <c r="F23" s="12"/>
      <c r="G23" s="11"/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11">
        <v>6</v>
      </c>
      <c r="C24" s="74" t="s">
        <v>184</v>
      </c>
      <c r="D24" s="11" t="s">
        <v>72</v>
      </c>
      <c r="E24" s="2"/>
      <c r="F24" s="12"/>
      <c r="G24" s="11"/>
      <c r="H24" s="2"/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11">
        <v>7</v>
      </c>
      <c r="C25" s="74" t="s">
        <v>185</v>
      </c>
      <c r="D25" s="11" t="s">
        <v>72</v>
      </c>
      <c r="E25" s="2"/>
      <c r="F25" s="12"/>
      <c r="G25" s="11"/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11">
        <v>8</v>
      </c>
      <c r="C26" s="74" t="s">
        <v>186</v>
      </c>
      <c r="D26" s="11" t="s">
        <v>72</v>
      </c>
      <c r="E26" s="2"/>
      <c r="F26" s="12"/>
      <c r="G26" s="11"/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11">
        <v>9</v>
      </c>
      <c r="C27" s="74" t="s">
        <v>128</v>
      </c>
      <c r="D27" s="11" t="s">
        <v>72</v>
      </c>
      <c r="E27" s="2"/>
      <c r="F27" s="12"/>
      <c r="G27" s="11"/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11">
        <v>10</v>
      </c>
      <c r="C28" s="74" t="s">
        <v>180</v>
      </c>
      <c r="D28" s="22" t="s">
        <v>72</v>
      </c>
      <c r="E28" s="23"/>
      <c r="F28" s="12"/>
      <c r="G28" s="11"/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11">
        <v>11</v>
      </c>
      <c r="C29" s="74" t="s">
        <v>165</v>
      </c>
      <c r="D29" s="22" t="s">
        <v>72</v>
      </c>
      <c r="E29" s="23"/>
      <c r="F29" s="12"/>
      <c r="G29" s="11"/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11">
        <v>12</v>
      </c>
      <c r="C30" s="74" t="s">
        <v>151</v>
      </c>
      <c r="D30" s="22" t="s">
        <v>72</v>
      </c>
      <c r="E30" s="23"/>
      <c r="F30" s="12"/>
      <c r="G30" s="11"/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6.2" thickBot="1">
      <c r="B31" s="11">
        <v>13</v>
      </c>
      <c r="C31" s="71" t="s">
        <v>187</v>
      </c>
      <c r="D31" s="22" t="s">
        <v>72</v>
      </c>
      <c r="E31" s="23"/>
      <c r="F31" s="12"/>
      <c r="G31" s="11"/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" thickBot="1">
      <c r="B32" s="142" t="s">
        <v>14</v>
      </c>
      <c r="C32" s="143"/>
      <c r="D32" s="137">
        <f>(COUNTIF(D19:D31, "X"))/((COUNTA($C$19:$C$31))-(COUNTA(F19:F31)))</f>
        <v>1</v>
      </c>
      <c r="E32" s="138"/>
      <c r="F32" s="139"/>
      <c r="G32" s="137">
        <f>(COUNTIF(G19:G31, "X"))/((COUNTA($C$19:$C$31))-(COUNTA(I19:I31)))</f>
        <v>0</v>
      </c>
      <c r="H32" s="138"/>
      <c r="I32" s="139"/>
      <c r="J32" s="137">
        <f>(COUNTIF(J19:J31, "X"))/((COUNTA($C$19:$C$31))-(COUNTA(L19:L31)))</f>
        <v>0</v>
      </c>
      <c r="K32" s="138"/>
      <c r="L32" s="139"/>
      <c r="M32" s="137">
        <f>(COUNTIF(M19:M31, "X"))/((COUNTA($C$19:$C$31))-(COUNTA(O19:O31)))</f>
        <v>0</v>
      </c>
      <c r="N32" s="138"/>
      <c r="O32" s="139"/>
      <c r="P32" s="137">
        <f>(COUNTIF(P19:P31, "X"))/((COUNTA($C$19:$C$31))-(COUNTA(R19:R31)))</f>
        <v>0</v>
      </c>
      <c r="Q32" s="138"/>
      <c r="R32" s="139"/>
      <c r="S32" s="137">
        <f>(COUNTIF(S19:S31, "X"))/((COUNTA($C$19:$C$31))-(COUNTA(U19:U31)))</f>
        <v>0</v>
      </c>
      <c r="T32" s="138"/>
      <c r="U32" s="139"/>
    </row>
    <row r="33" spans="2:21" ht="14.4" customHeight="1">
      <c r="B33" s="94" t="s">
        <v>188</v>
      </c>
      <c r="C33" s="94" t="s">
        <v>132</v>
      </c>
      <c r="D33" s="80">
        <v>46057</v>
      </c>
      <c r="E33" s="28"/>
      <c r="F33" s="27"/>
      <c r="G33" s="80">
        <v>46078</v>
      </c>
      <c r="H33" s="28"/>
      <c r="I33" s="27"/>
      <c r="J33" s="25"/>
      <c r="K33" s="28"/>
      <c r="L33" s="27"/>
      <c r="M33" s="25"/>
      <c r="N33" s="28"/>
      <c r="O33" s="27"/>
      <c r="P33" s="25"/>
      <c r="Q33" s="28"/>
      <c r="R33" s="27"/>
      <c r="S33" s="25"/>
      <c r="T33" s="28"/>
      <c r="U33" s="27"/>
    </row>
    <row r="34" spans="2:21" ht="15.6">
      <c r="B34" s="11">
        <v>1</v>
      </c>
      <c r="C34" s="72" t="s">
        <v>127</v>
      </c>
      <c r="D34" s="11" t="s">
        <v>72</v>
      </c>
      <c r="E34" s="2"/>
      <c r="F34" s="12"/>
      <c r="G34" s="11"/>
      <c r="H34" s="2" t="s">
        <v>72</v>
      </c>
      <c r="I34" s="12"/>
      <c r="J34" s="11"/>
      <c r="K34" s="2"/>
      <c r="L34" s="12"/>
      <c r="M34" s="11"/>
      <c r="N34" s="2"/>
      <c r="O34" s="12"/>
      <c r="P34" s="11"/>
      <c r="Q34" s="2"/>
      <c r="R34" s="12"/>
      <c r="S34" s="11"/>
      <c r="T34" s="2"/>
      <c r="U34" s="12"/>
    </row>
    <row r="35" spans="2:21" ht="15.6">
      <c r="B35" s="11">
        <v>2</v>
      </c>
      <c r="C35" s="72" t="s">
        <v>182</v>
      </c>
      <c r="D35" s="11"/>
      <c r="E35" s="2" t="s">
        <v>72</v>
      </c>
      <c r="F35" s="12"/>
      <c r="G35" s="11"/>
      <c r="H35" s="2" t="s">
        <v>72</v>
      </c>
      <c r="I35" s="12"/>
      <c r="J35" s="11"/>
      <c r="K35" s="2"/>
      <c r="L35" s="12"/>
      <c r="M35" s="11"/>
      <c r="N35" s="2"/>
      <c r="O35" s="12"/>
      <c r="P35" s="11"/>
      <c r="Q35" s="2"/>
      <c r="R35" s="12"/>
      <c r="S35" s="11"/>
      <c r="T35" s="2"/>
      <c r="U35" s="12"/>
    </row>
    <row r="36" spans="2:21" ht="15.6">
      <c r="B36" s="11">
        <v>3</v>
      </c>
      <c r="C36" s="72" t="s">
        <v>133</v>
      </c>
      <c r="D36" s="93" t="s">
        <v>72</v>
      </c>
      <c r="E36" s="2"/>
      <c r="F36" s="12"/>
      <c r="G36" s="93" t="s">
        <v>72</v>
      </c>
      <c r="H36" s="2"/>
      <c r="I36" s="12"/>
      <c r="J36" s="11"/>
      <c r="K36" s="2"/>
      <c r="L36" s="12"/>
      <c r="M36" s="11"/>
      <c r="N36" s="2"/>
      <c r="O36" s="12"/>
      <c r="P36" s="11"/>
      <c r="Q36" s="2"/>
      <c r="R36" s="12"/>
      <c r="S36" s="11"/>
      <c r="T36" s="2"/>
      <c r="U36" s="12"/>
    </row>
    <row r="37" spans="2:21" ht="15.6">
      <c r="B37" s="11">
        <v>4</v>
      </c>
      <c r="C37" s="74" t="s">
        <v>126</v>
      </c>
      <c r="D37" s="11" t="s">
        <v>72</v>
      </c>
      <c r="E37" s="2"/>
      <c r="F37" s="12"/>
      <c r="G37" s="11" t="s">
        <v>72</v>
      </c>
      <c r="H37" s="2"/>
      <c r="I37" s="12"/>
      <c r="J37" s="11"/>
      <c r="K37" s="2"/>
      <c r="L37" s="12"/>
      <c r="M37" s="11"/>
      <c r="N37" s="2"/>
      <c r="O37" s="12"/>
      <c r="P37" s="11"/>
      <c r="Q37" s="2"/>
      <c r="R37" s="12"/>
      <c r="S37" s="11"/>
      <c r="T37" s="2"/>
      <c r="U37" s="12"/>
    </row>
    <row r="38" spans="2:21" ht="15.6">
      <c r="B38" s="11">
        <v>5</v>
      </c>
      <c r="C38" s="74" t="s">
        <v>219</v>
      </c>
      <c r="D38" s="11"/>
      <c r="E38" s="2" t="s">
        <v>72</v>
      </c>
      <c r="F38" s="12"/>
      <c r="G38" s="11" t="s">
        <v>72</v>
      </c>
      <c r="H38" s="2"/>
      <c r="I38" s="12"/>
      <c r="J38" s="11"/>
      <c r="K38" s="2"/>
      <c r="L38" s="12"/>
      <c r="M38" s="11"/>
      <c r="N38" s="2"/>
      <c r="O38" s="12"/>
      <c r="P38" s="11"/>
      <c r="Q38" s="2"/>
      <c r="R38" s="12"/>
      <c r="S38" s="11"/>
      <c r="T38" s="2"/>
      <c r="U38" s="12"/>
    </row>
    <row r="39" spans="2:21" ht="15.6">
      <c r="B39" s="11">
        <v>6</v>
      </c>
      <c r="C39" s="74" t="s">
        <v>173</v>
      </c>
      <c r="D39" s="11" t="s">
        <v>72</v>
      </c>
      <c r="E39" s="23"/>
      <c r="F39" s="24"/>
      <c r="G39" s="22" t="s">
        <v>72</v>
      </c>
      <c r="H39" s="23"/>
      <c r="I39" s="24"/>
      <c r="J39" s="22"/>
      <c r="K39" s="23"/>
      <c r="L39" s="24"/>
      <c r="M39" s="22"/>
      <c r="N39" s="23"/>
      <c r="O39" s="24"/>
      <c r="P39" s="22"/>
      <c r="Q39" s="23"/>
      <c r="R39" s="24"/>
      <c r="S39" s="22"/>
      <c r="T39" s="23"/>
      <c r="U39" s="24"/>
    </row>
    <row r="40" spans="2:21" ht="15.6">
      <c r="B40" s="11">
        <v>7</v>
      </c>
      <c r="C40" s="74" t="s">
        <v>185</v>
      </c>
      <c r="D40" s="11" t="s">
        <v>72</v>
      </c>
      <c r="E40" s="23"/>
      <c r="F40" s="24"/>
      <c r="G40" s="22" t="s">
        <v>72</v>
      </c>
      <c r="H40" s="23"/>
      <c r="I40" s="24"/>
      <c r="J40" s="22"/>
      <c r="K40" s="23"/>
      <c r="L40" s="24"/>
      <c r="M40" s="22"/>
      <c r="N40" s="23"/>
      <c r="O40" s="24"/>
      <c r="P40" s="22"/>
      <c r="Q40" s="23"/>
      <c r="R40" s="24"/>
      <c r="S40" s="22"/>
      <c r="T40" s="23"/>
      <c r="U40" s="24"/>
    </row>
    <row r="41" spans="2:21" ht="15.6">
      <c r="B41" s="11">
        <v>8</v>
      </c>
      <c r="C41" s="74" t="s">
        <v>186</v>
      </c>
      <c r="D41" s="11" t="s">
        <v>72</v>
      </c>
      <c r="E41" s="23"/>
      <c r="F41" s="24"/>
      <c r="G41" s="22" t="s">
        <v>72</v>
      </c>
      <c r="H41" s="23"/>
      <c r="I41" s="24"/>
      <c r="J41" s="22"/>
      <c r="K41" s="23"/>
      <c r="L41" s="24"/>
      <c r="M41" s="22"/>
      <c r="N41" s="23"/>
      <c r="O41" s="24"/>
      <c r="P41" s="22"/>
      <c r="Q41" s="23"/>
      <c r="R41" s="24"/>
      <c r="S41" s="22"/>
      <c r="T41" s="23"/>
      <c r="U41" s="24"/>
    </row>
    <row r="42" spans="2:21" ht="15.6">
      <c r="B42" s="11">
        <v>9</v>
      </c>
      <c r="C42" s="74" t="s">
        <v>128</v>
      </c>
      <c r="D42" s="11" t="s">
        <v>72</v>
      </c>
      <c r="E42" s="23"/>
      <c r="F42" s="24"/>
      <c r="G42" s="22" t="s">
        <v>72</v>
      </c>
      <c r="H42" s="23"/>
      <c r="I42" s="24"/>
      <c r="J42" s="22"/>
      <c r="K42" s="23"/>
      <c r="L42" s="24"/>
      <c r="M42" s="22"/>
      <c r="N42" s="23"/>
      <c r="O42" s="24"/>
      <c r="P42" s="22"/>
      <c r="Q42" s="23"/>
      <c r="R42" s="24"/>
      <c r="S42" s="22"/>
      <c r="T42" s="23"/>
      <c r="U42" s="24"/>
    </row>
    <row r="43" spans="2:21" ht="15.6">
      <c r="B43" s="11">
        <v>10</v>
      </c>
      <c r="C43" s="74" t="s">
        <v>163</v>
      </c>
      <c r="D43" s="11" t="s">
        <v>72</v>
      </c>
      <c r="E43" s="23"/>
      <c r="F43" s="24"/>
      <c r="G43" s="22" t="s">
        <v>72</v>
      </c>
      <c r="H43" s="23"/>
      <c r="I43" s="24"/>
      <c r="J43" s="22"/>
      <c r="K43" s="23"/>
      <c r="L43" s="24"/>
      <c r="M43" s="22"/>
      <c r="N43" s="23"/>
      <c r="O43" s="24"/>
      <c r="P43" s="22"/>
      <c r="Q43" s="23"/>
      <c r="R43" s="24"/>
      <c r="S43" s="22"/>
      <c r="T43" s="23"/>
      <c r="U43" s="24"/>
    </row>
    <row r="44" spans="2:21" ht="15.6">
      <c r="B44" s="11">
        <v>11</v>
      </c>
      <c r="C44" s="71" t="s">
        <v>164</v>
      </c>
      <c r="D44" s="93" t="s">
        <v>72</v>
      </c>
      <c r="E44" s="23"/>
      <c r="F44" s="24"/>
      <c r="G44" s="104" t="s">
        <v>72</v>
      </c>
      <c r="H44" s="23"/>
      <c r="I44" s="24"/>
      <c r="J44" s="22"/>
      <c r="K44" s="23"/>
      <c r="L44" s="24"/>
      <c r="M44" s="22"/>
      <c r="N44" s="23"/>
      <c r="O44" s="24"/>
      <c r="P44" s="22"/>
      <c r="Q44" s="23"/>
      <c r="R44" s="24"/>
      <c r="S44" s="22"/>
      <c r="T44" s="23"/>
      <c r="U44" s="24"/>
    </row>
    <row r="45" spans="2:21" ht="15.6">
      <c r="B45" s="11">
        <v>12</v>
      </c>
      <c r="C45" s="74" t="s">
        <v>165</v>
      </c>
      <c r="D45" s="11"/>
      <c r="E45" s="23"/>
      <c r="F45" s="24" t="s">
        <v>72</v>
      </c>
      <c r="G45" s="22"/>
      <c r="H45" s="23"/>
      <c r="I45" s="24" t="s">
        <v>72</v>
      </c>
      <c r="J45" s="22"/>
      <c r="K45" s="23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13</v>
      </c>
      <c r="C46" s="74" t="s">
        <v>135</v>
      </c>
      <c r="D46" s="11" t="s">
        <v>72</v>
      </c>
      <c r="E46" s="23"/>
      <c r="F46" s="24"/>
      <c r="G46" s="22" t="s">
        <v>72</v>
      </c>
      <c r="H46" s="23"/>
      <c r="I46" s="24"/>
      <c r="J46" s="22"/>
      <c r="K46" s="23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14</v>
      </c>
      <c r="C47" s="74" t="s">
        <v>136</v>
      </c>
      <c r="D47" s="11" t="s">
        <v>72</v>
      </c>
      <c r="E47" s="23"/>
      <c r="F47" s="24"/>
      <c r="G47" s="22" t="s">
        <v>72</v>
      </c>
      <c r="H47" s="23"/>
      <c r="I47" s="24"/>
      <c r="J47" s="22"/>
      <c r="K47" s="23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6.2" thickBot="1">
      <c r="B48" s="11">
        <v>15</v>
      </c>
      <c r="C48" s="71" t="s">
        <v>134</v>
      </c>
      <c r="D48" s="11"/>
      <c r="E48" s="23" t="s">
        <v>72</v>
      </c>
      <c r="F48" s="24"/>
      <c r="G48" s="22"/>
      <c r="H48" s="23" t="s">
        <v>72</v>
      </c>
      <c r="I48" s="24"/>
      <c r="J48" s="22"/>
      <c r="K48" s="23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" thickBot="1">
      <c r="B49" s="142" t="s">
        <v>14</v>
      </c>
      <c r="C49" s="143"/>
      <c r="D49" s="137">
        <f>(COUNTIF(D34:D48, "X"))/((COUNTA($C$34:$C$48))-(COUNTA(F34:F48)))</f>
        <v>0.7857142857142857</v>
      </c>
      <c r="E49" s="138"/>
      <c r="F49" s="139"/>
      <c r="G49" s="137">
        <f>(COUNTIF(G34:G48, "X"))/((COUNTA($C$34:$C$48))-(COUNTA(I34:I48)))</f>
        <v>0.7857142857142857</v>
      </c>
      <c r="H49" s="138"/>
      <c r="I49" s="139"/>
      <c r="J49" s="137">
        <f>(COUNTIF(J34:J48, "X"))/((COUNTA($C$34:$C$48))-(COUNTA(L34:L48)))</f>
        <v>0</v>
      </c>
      <c r="K49" s="138"/>
      <c r="L49" s="139"/>
      <c r="M49" s="137">
        <f>(COUNTIF(M34:M48, "X"))/((COUNTA($C$34:$C$48))-(COUNTA(O34:O48)))</f>
        <v>0</v>
      </c>
      <c r="N49" s="138"/>
      <c r="O49" s="139"/>
      <c r="P49" s="137">
        <f>(COUNTIF(P34:P48, "X"))/((COUNTA($C$34:$C$48))-(COUNTA(R34:R48)))</f>
        <v>0</v>
      </c>
      <c r="Q49" s="138"/>
      <c r="R49" s="139"/>
      <c r="S49" s="137">
        <f>(COUNTIF(S34:S48, "X"))/((COUNTA($C$34:$C$48))-(COUNTA(U34:U48)))</f>
        <v>0</v>
      </c>
      <c r="T49" s="138"/>
      <c r="U49" s="139"/>
    </row>
    <row r="50" spans="2:21">
      <c r="B50" s="147" t="s">
        <v>141</v>
      </c>
      <c r="C50" s="148"/>
      <c r="D50" s="80">
        <v>46064</v>
      </c>
      <c r="E50" s="28"/>
      <c r="F50" s="27"/>
      <c r="G50" s="80"/>
      <c r="H50" s="81"/>
      <c r="I50" s="27"/>
      <c r="J50" s="25"/>
      <c r="K50" s="28"/>
      <c r="L50" s="27"/>
      <c r="M50" s="25"/>
      <c r="N50" s="28"/>
      <c r="O50" s="27"/>
      <c r="P50" s="25"/>
      <c r="Q50" s="28"/>
      <c r="R50" s="27"/>
      <c r="S50" s="25"/>
      <c r="T50" s="28"/>
      <c r="U50" s="27"/>
    </row>
    <row r="51" spans="2:21" ht="15.6">
      <c r="B51" s="11">
        <v>1</v>
      </c>
      <c r="C51" s="72" t="s">
        <v>137</v>
      </c>
      <c r="D51" s="11" t="s">
        <v>72</v>
      </c>
      <c r="E51" s="2"/>
      <c r="F51" s="12"/>
      <c r="G51" s="11"/>
      <c r="H51" s="2"/>
      <c r="I51" s="12"/>
      <c r="J51" s="11"/>
      <c r="K51" s="2"/>
      <c r="L51" s="12"/>
      <c r="M51" s="11"/>
      <c r="N51" s="2"/>
      <c r="O51" s="12"/>
      <c r="P51" s="11"/>
      <c r="Q51" s="2"/>
      <c r="R51" s="12"/>
      <c r="S51" s="11"/>
      <c r="T51" s="2"/>
      <c r="U51" s="12"/>
    </row>
    <row r="52" spans="2:21" ht="15.6">
      <c r="B52" s="11">
        <v>2</v>
      </c>
      <c r="C52" s="72" t="s">
        <v>139</v>
      </c>
      <c r="D52" s="11" t="s">
        <v>72</v>
      </c>
      <c r="E52" s="2"/>
      <c r="F52" s="12"/>
      <c r="G52" s="11"/>
      <c r="H52" s="2"/>
      <c r="I52" s="12"/>
      <c r="J52" s="11"/>
      <c r="K52" s="2"/>
      <c r="L52" s="12"/>
      <c r="M52" s="11"/>
      <c r="N52" s="2"/>
      <c r="O52" s="12"/>
      <c r="P52" s="11"/>
      <c r="Q52" s="2"/>
      <c r="R52" s="12"/>
      <c r="S52" s="11"/>
      <c r="T52" s="2"/>
      <c r="U52" s="12"/>
    </row>
    <row r="53" spans="2:21" ht="15.6">
      <c r="B53" s="11">
        <v>3</v>
      </c>
      <c r="C53" s="72" t="s">
        <v>166</v>
      </c>
      <c r="D53" s="11"/>
      <c r="E53" s="2" t="s">
        <v>72</v>
      </c>
      <c r="F53" s="12"/>
      <c r="G53" s="11"/>
      <c r="H53" s="2"/>
      <c r="I53" s="12"/>
      <c r="J53" s="11"/>
      <c r="K53" s="2"/>
      <c r="L53" s="12"/>
      <c r="M53" s="11"/>
      <c r="N53" s="2"/>
      <c r="O53" s="12"/>
      <c r="P53" s="11"/>
      <c r="Q53" s="2"/>
      <c r="R53" s="12"/>
      <c r="S53" s="11"/>
      <c r="T53" s="2"/>
      <c r="U53" s="12"/>
    </row>
    <row r="54" spans="2:21" ht="15.6">
      <c r="B54" s="11">
        <v>4</v>
      </c>
      <c r="C54" s="74" t="s">
        <v>167</v>
      </c>
      <c r="D54" s="11" t="s">
        <v>72</v>
      </c>
      <c r="E54" s="2"/>
      <c r="F54" s="12"/>
      <c r="G54" s="11"/>
      <c r="H54" s="2"/>
      <c r="I54" s="12"/>
      <c r="J54" s="11"/>
      <c r="K54" s="2"/>
      <c r="L54" s="12"/>
      <c r="M54" s="11"/>
      <c r="N54" s="2"/>
      <c r="O54" s="12"/>
      <c r="P54" s="11"/>
      <c r="Q54" s="2"/>
      <c r="R54" s="12"/>
      <c r="S54" s="11"/>
      <c r="T54" s="2"/>
      <c r="U54" s="12"/>
    </row>
    <row r="55" spans="2:21" ht="15.6">
      <c r="B55" s="11">
        <v>5</v>
      </c>
      <c r="C55" s="74" t="s">
        <v>168</v>
      </c>
      <c r="D55" s="11" t="s">
        <v>72</v>
      </c>
      <c r="E55" s="2"/>
      <c r="F55" s="12"/>
      <c r="G55" s="11"/>
      <c r="H55" s="2"/>
      <c r="I55" s="12"/>
      <c r="J55" s="11"/>
      <c r="K55" s="2"/>
      <c r="L55" s="12"/>
      <c r="M55" s="11"/>
      <c r="N55" s="2"/>
      <c r="O55" s="12"/>
      <c r="P55" s="11"/>
      <c r="Q55" s="2"/>
      <c r="R55" s="12"/>
      <c r="S55" s="11"/>
      <c r="T55" s="2"/>
      <c r="U55" s="12"/>
    </row>
    <row r="56" spans="2:21" ht="15.6">
      <c r="B56" s="11">
        <v>6</v>
      </c>
      <c r="C56" s="74" t="s">
        <v>169</v>
      </c>
      <c r="D56" s="11" t="s">
        <v>72</v>
      </c>
      <c r="E56" s="2"/>
      <c r="F56" s="12"/>
      <c r="G56" s="11"/>
      <c r="H56" s="2"/>
      <c r="I56" s="12"/>
      <c r="J56" s="11"/>
      <c r="K56" s="2"/>
      <c r="L56" s="12"/>
      <c r="M56" s="11"/>
      <c r="N56" s="2"/>
      <c r="O56" s="12"/>
      <c r="P56" s="11"/>
      <c r="Q56" s="2"/>
      <c r="R56" s="12"/>
      <c r="S56" s="11"/>
      <c r="T56" s="2"/>
      <c r="U56" s="12"/>
    </row>
    <row r="57" spans="2:21" ht="15.6">
      <c r="B57" s="11">
        <v>7</v>
      </c>
      <c r="C57" s="74" t="s">
        <v>170</v>
      </c>
      <c r="D57" s="11" t="s">
        <v>72</v>
      </c>
      <c r="E57" s="2"/>
      <c r="F57" s="12"/>
      <c r="G57" s="11"/>
      <c r="H57" s="2"/>
      <c r="I57" s="12"/>
      <c r="J57" s="11"/>
      <c r="K57" s="2"/>
      <c r="L57" s="12"/>
      <c r="M57" s="11"/>
      <c r="N57" s="2" t="s">
        <v>47</v>
      </c>
      <c r="O57" s="12"/>
      <c r="P57" s="11"/>
      <c r="Q57" s="2"/>
      <c r="R57" s="12"/>
      <c r="S57" s="11"/>
      <c r="T57" s="2"/>
      <c r="U57" s="12"/>
    </row>
    <row r="58" spans="2:21" ht="15.6">
      <c r="B58" s="11">
        <v>8</v>
      </c>
      <c r="C58" s="74" t="s">
        <v>171</v>
      </c>
      <c r="D58" s="11"/>
      <c r="E58" s="2" t="s">
        <v>72</v>
      </c>
      <c r="F58" s="12"/>
      <c r="G58" s="11"/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9</v>
      </c>
      <c r="C59" s="74" t="s">
        <v>138</v>
      </c>
      <c r="D59" s="11" t="s">
        <v>72</v>
      </c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10</v>
      </c>
      <c r="C60" s="74" t="s">
        <v>140</v>
      </c>
      <c r="D60" s="11" t="s">
        <v>72</v>
      </c>
      <c r="E60" s="2"/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>
      <c r="B61" s="142" t="s">
        <v>14</v>
      </c>
      <c r="C61" s="143"/>
      <c r="D61" s="144">
        <f>(COUNTIF(D51:D60, "X"))/((COUNTA($C$51:$C$60))-(COUNTA(F51:F60)))</f>
        <v>0.8</v>
      </c>
      <c r="E61" s="145"/>
      <c r="F61" s="146"/>
      <c r="G61" s="144">
        <f>(COUNTIF(G51:G60, "X"))/((COUNTA($C$51:$C$60))-(COUNTA(I51:I60)))</f>
        <v>0</v>
      </c>
      <c r="H61" s="145"/>
      <c r="I61" s="146"/>
      <c r="J61" s="144">
        <f>(COUNTIF(J51:J60, "X"))/((COUNTA($C$51:$C$60))-(COUNTA(L51:L60)))</f>
        <v>0</v>
      </c>
      <c r="K61" s="145"/>
      <c r="L61" s="146"/>
      <c r="M61" s="144">
        <f>(COUNTIF(M51:M60, "X"))/((COUNTA($C$51:$C$60))-(COUNTA(O51:O60)))</f>
        <v>0</v>
      </c>
      <c r="N61" s="145"/>
      <c r="O61" s="146"/>
      <c r="P61" s="144">
        <f>(COUNTIF(P51:P60, "X"))/((COUNTA($C$51:$C$60))-(COUNTA(R51:R60)))</f>
        <v>0</v>
      </c>
      <c r="Q61" s="145"/>
      <c r="R61" s="146"/>
      <c r="S61" s="144">
        <f>(COUNTIF(S51:S60, "X"))/((COUNTA($C$51:$C$60))-(COUNTA(U51:U60)))</f>
        <v>0</v>
      </c>
      <c r="T61" s="145"/>
      <c r="U61" s="146"/>
    </row>
    <row r="62" spans="2:21" ht="14.4" customHeight="1">
      <c r="B62" s="94" t="s">
        <v>188</v>
      </c>
      <c r="C62" s="94" t="s">
        <v>143</v>
      </c>
      <c r="D62" s="78"/>
      <c r="E62" s="5"/>
      <c r="F62" s="17"/>
      <c r="G62" s="16"/>
      <c r="H62" s="5"/>
      <c r="I62" s="17"/>
      <c r="J62" s="16"/>
      <c r="K62" s="5"/>
      <c r="L62" s="17"/>
      <c r="M62" s="16"/>
      <c r="N62" s="5"/>
      <c r="O62" s="17"/>
      <c r="P62" s="16"/>
      <c r="Q62" s="5"/>
      <c r="R62" s="17"/>
      <c r="S62" s="16"/>
      <c r="T62" s="5"/>
      <c r="U62" s="17"/>
    </row>
    <row r="63" spans="2:21" ht="15.6">
      <c r="B63" s="11">
        <v>1</v>
      </c>
      <c r="C63" s="72" t="s">
        <v>152</v>
      </c>
      <c r="D63" s="11"/>
      <c r="E63" s="2"/>
      <c r="F63" s="12"/>
      <c r="G63" s="11"/>
      <c r="H63" s="2"/>
      <c r="I63" s="12"/>
      <c r="J63" s="11"/>
      <c r="K63" s="2"/>
      <c r="L63" s="12"/>
      <c r="M63" s="11"/>
      <c r="N63" s="2"/>
      <c r="O63" s="12"/>
      <c r="P63" s="11"/>
      <c r="Q63" s="2"/>
      <c r="R63" s="12"/>
      <c r="S63" s="11"/>
      <c r="T63" s="2"/>
      <c r="U63" s="12"/>
    </row>
    <row r="64" spans="2:21" ht="15.6">
      <c r="B64" s="11">
        <v>2</v>
      </c>
      <c r="C64" s="72" t="s">
        <v>172</v>
      </c>
      <c r="D64" s="11"/>
      <c r="E64" s="2"/>
      <c r="F64" s="12"/>
      <c r="G64" s="11"/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3</v>
      </c>
      <c r="C65" s="72" t="s">
        <v>154</v>
      </c>
      <c r="D65" s="11"/>
      <c r="E65" s="2"/>
      <c r="F65" s="12"/>
      <c r="G65" s="11"/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4</v>
      </c>
      <c r="C66" s="72" t="s">
        <v>159</v>
      </c>
      <c r="D66" s="11"/>
      <c r="E66" s="23"/>
      <c r="F66" s="24"/>
      <c r="G66" s="22"/>
      <c r="H66" s="23"/>
      <c r="I66" s="24"/>
      <c r="J66" s="22"/>
      <c r="K66" s="23"/>
      <c r="L66" s="24"/>
      <c r="M66" s="22"/>
      <c r="N66" s="23"/>
      <c r="O66" s="24"/>
      <c r="P66" s="22"/>
      <c r="Q66" s="23"/>
      <c r="R66" s="24"/>
      <c r="S66" s="22"/>
      <c r="T66" s="23"/>
      <c r="U66" s="24"/>
    </row>
    <row r="67" spans="2:21" ht="15.6">
      <c r="B67" s="11">
        <v>5</v>
      </c>
      <c r="C67" s="72" t="s">
        <v>163</v>
      </c>
      <c r="D67" s="11"/>
      <c r="E67" s="23"/>
      <c r="F67" s="24"/>
      <c r="G67" s="22"/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6</v>
      </c>
      <c r="C68" s="72" t="s">
        <v>173</v>
      </c>
      <c r="D68" s="11"/>
      <c r="E68" s="23"/>
      <c r="F68" s="24"/>
      <c r="G68" s="22"/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7</v>
      </c>
      <c r="C69" s="72" t="s">
        <v>174</v>
      </c>
      <c r="D69" s="11"/>
      <c r="E69" s="92"/>
      <c r="F69" s="24"/>
      <c r="G69" s="22"/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8</v>
      </c>
      <c r="C70" s="72" t="s">
        <v>175</v>
      </c>
      <c r="D70" s="11"/>
      <c r="E70" s="23"/>
      <c r="F70" s="24"/>
      <c r="G70" s="22"/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9</v>
      </c>
      <c r="C71" s="72" t="s">
        <v>153</v>
      </c>
      <c r="D71" s="11"/>
      <c r="E71" s="92"/>
      <c r="F71" s="24"/>
      <c r="G71" s="22"/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10</v>
      </c>
      <c r="C72" s="72" t="s">
        <v>176</v>
      </c>
      <c r="D72" s="11"/>
      <c r="E72" s="23"/>
      <c r="F72" s="24"/>
      <c r="G72" s="22"/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11</v>
      </c>
      <c r="C73" s="72" t="s">
        <v>155</v>
      </c>
      <c r="D73" s="11"/>
      <c r="E73" s="23"/>
      <c r="F73" s="24"/>
      <c r="G73" s="22"/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177</v>
      </c>
      <c r="D74" s="11"/>
      <c r="E74" s="23"/>
      <c r="F74" s="24"/>
      <c r="G74" s="22"/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6.2" thickBot="1">
      <c r="B75" s="11">
        <v>13</v>
      </c>
      <c r="C75" s="72" t="s">
        <v>160</v>
      </c>
      <c r="D75" s="11"/>
      <c r="E75" s="23"/>
      <c r="F75" s="24"/>
      <c r="G75" s="22"/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>
      <c r="B76" s="142" t="s">
        <v>14</v>
      </c>
      <c r="C76" s="143"/>
      <c r="D76" s="149">
        <f>(COUNTIF(D63:D75, "X"))/((COUNTA($C$63:$C$75))-(COUNTA(F63:F75)))</f>
        <v>0</v>
      </c>
      <c r="E76" s="150"/>
      <c r="F76" s="151"/>
      <c r="G76" s="149">
        <f>(COUNTIF(G63:G75, "X"))/((COUNTA($C$63:$C$72))-(COUNTA(I63:I75)))</f>
        <v>0</v>
      </c>
      <c r="H76" s="150"/>
      <c r="I76" s="151"/>
      <c r="J76" s="149">
        <f>(COUNTIF(J63:J75, "X"))/((COUNTA($C$63:$C$72))-(COUNTA(L63:L75)))</f>
        <v>0</v>
      </c>
      <c r="K76" s="150"/>
      <c r="L76" s="151"/>
      <c r="M76" s="149">
        <f>(COUNTIF(M63:M75, "X"))/((COUNTA($C$63:$C$72))-(COUNTA(O63:O75)))</f>
        <v>0</v>
      </c>
      <c r="N76" s="150"/>
      <c r="O76" s="151"/>
      <c r="P76" s="149">
        <f>(COUNTIF(P63:P75, "X"))/((COUNTA($C$63:$C$72))-(COUNTA(R63:R75)))</f>
        <v>0</v>
      </c>
      <c r="Q76" s="150"/>
      <c r="R76" s="151"/>
      <c r="S76" s="149">
        <f>(COUNTIF(S63:S75, "X"))/((COUNTA($C$63:$C$72))-(COUNTA(U63:U75)))</f>
        <v>0</v>
      </c>
      <c r="T76" s="150"/>
      <c r="U76" s="151"/>
    </row>
    <row r="77" spans="2:21" ht="15" customHeight="1" thickBot="1">
      <c r="B77" s="94" t="s">
        <v>188</v>
      </c>
      <c r="C77" s="94" t="s">
        <v>144</v>
      </c>
      <c r="D77" s="98"/>
      <c r="E77" s="33"/>
      <c r="F77" s="34"/>
      <c r="G77" s="32"/>
      <c r="H77" s="33"/>
      <c r="I77" s="34"/>
      <c r="J77" s="32"/>
      <c r="K77" s="33"/>
      <c r="L77" s="34"/>
      <c r="M77" s="32"/>
      <c r="N77" s="33"/>
      <c r="O77" s="34"/>
      <c r="P77" s="32"/>
      <c r="Q77" s="33"/>
      <c r="R77" s="34"/>
      <c r="S77" s="32"/>
      <c r="T77" s="33"/>
      <c r="U77" s="34"/>
    </row>
    <row r="78" spans="2:21" ht="15.6">
      <c r="B78" s="11">
        <v>1</v>
      </c>
      <c r="C78" s="72" t="s">
        <v>156</v>
      </c>
      <c r="D78" s="29"/>
      <c r="E78" s="30"/>
      <c r="F78" s="31"/>
      <c r="G78" s="29"/>
      <c r="H78" s="30"/>
      <c r="I78" s="31"/>
      <c r="J78" s="29"/>
      <c r="K78" s="30"/>
      <c r="L78" s="31"/>
      <c r="M78" s="29"/>
      <c r="N78" s="30"/>
      <c r="O78" s="31"/>
      <c r="P78" s="29"/>
      <c r="Q78" s="30"/>
      <c r="R78" s="31"/>
      <c r="S78" s="29"/>
      <c r="T78" s="30"/>
      <c r="U78" s="31"/>
    </row>
    <row r="79" spans="2:21" ht="15.6">
      <c r="B79" s="11">
        <v>2</v>
      </c>
      <c r="C79" s="72" t="s">
        <v>157</v>
      </c>
      <c r="D79" s="29"/>
      <c r="E79" s="2"/>
      <c r="F79" s="12"/>
      <c r="G79" s="11"/>
      <c r="H79" s="2"/>
      <c r="I79" s="12"/>
      <c r="J79" s="11"/>
      <c r="K79" s="2"/>
      <c r="L79" s="12"/>
      <c r="M79" s="11"/>
      <c r="N79" s="2"/>
      <c r="O79" s="12"/>
      <c r="P79" s="11"/>
      <c r="Q79" s="2"/>
      <c r="R79" s="12"/>
      <c r="S79" s="11"/>
      <c r="T79" s="2"/>
      <c r="U79" s="12"/>
    </row>
    <row r="80" spans="2:21" ht="15.6">
      <c r="B80" s="11">
        <v>3</v>
      </c>
      <c r="C80" s="72" t="s">
        <v>173</v>
      </c>
      <c r="D80" s="29"/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4</v>
      </c>
      <c r="C81" s="72" t="s">
        <v>178</v>
      </c>
      <c r="D81" s="29"/>
      <c r="E81" s="23"/>
      <c r="F81" s="24"/>
      <c r="G81" s="22"/>
      <c r="H81" s="23"/>
      <c r="I81" s="24"/>
      <c r="J81" s="22"/>
      <c r="K81" s="23"/>
      <c r="L81" s="24"/>
      <c r="M81" s="22"/>
      <c r="N81" s="23"/>
      <c r="O81" s="24"/>
      <c r="P81" s="22"/>
      <c r="Q81" s="23"/>
      <c r="R81" s="24"/>
      <c r="S81" s="22"/>
      <c r="T81" s="23"/>
      <c r="U81" s="24"/>
    </row>
    <row r="82" spans="2:21" ht="15.6">
      <c r="B82" s="11">
        <v>5</v>
      </c>
      <c r="C82" s="72" t="s">
        <v>179</v>
      </c>
      <c r="D82" s="29"/>
      <c r="E82" s="2"/>
      <c r="F82" s="12"/>
      <c r="G82" s="11"/>
      <c r="H82" s="2"/>
      <c r="I82" s="12"/>
      <c r="J82" s="11"/>
      <c r="K82" s="2"/>
      <c r="L82" s="12"/>
      <c r="M82" s="11"/>
      <c r="N82" s="2"/>
      <c r="O82" s="12"/>
      <c r="P82" s="11"/>
      <c r="Q82" s="2"/>
      <c r="R82" s="12"/>
      <c r="S82" s="11"/>
      <c r="T82" s="2"/>
      <c r="U82" s="12"/>
    </row>
    <row r="83" spans="2:21" ht="15.6">
      <c r="B83" s="11">
        <v>6</v>
      </c>
      <c r="C83" s="72" t="s">
        <v>158</v>
      </c>
      <c r="D83" s="29"/>
      <c r="E83" s="2"/>
      <c r="F83" s="12"/>
      <c r="G83" s="11"/>
      <c r="H83" s="2"/>
      <c r="I83" s="12"/>
      <c r="J83" s="11"/>
      <c r="K83" s="2"/>
      <c r="L83" s="12"/>
      <c r="M83" s="11"/>
      <c r="N83" s="2"/>
      <c r="O83" s="12"/>
      <c r="P83" s="11"/>
      <c r="Q83" s="2"/>
      <c r="R83" s="12"/>
      <c r="S83" s="11"/>
      <c r="T83" s="2"/>
      <c r="U83" s="12"/>
    </row>
    <row r="84" spans="2:21" ht="15.6">
      <c r="B84" s="11">
        <v>7</v>
      </c>
      <c r="C84" s="72" t="s">
        <v>222</v>
      </c>
      <c r="D84" s="29"/>
      <c r="E84" s="2"/>
      <c r="F84" s="12"/>
      <c r="G84" s="11"/>
      <c r="H84" s="2"/>
      <c r="I84" s="12"/>
      <c r="J84" s="11"/>
      <c r="K84" s="2"/>
      <c r="L84" s="12"/>
      <c r="M84" s="11"/>
      <c r="N84" s="2"/>
      <c r="O84" s="12"/>
      <c r="P84" s="11"/>
      <c r="Q84" s="2"/>
      <c r="R84" s="12"/>
      <c r="S84" s="11"/>
      <c r="T84" s="2"/>
      <c r="U84" s="12"/>
    </row>
    <row r="85" spans="2:21" ht="15.6">
      <c r="B85" s="11">
        <v>8</v>
      </c>
      <c r="C85" s="72" t="s">
        <v>181</v>
      </c>
      <c r="D85" s="29"/>
      <c r="E85" s="2"/>
      <c r="F85" s="12"/>
      <c r="G85" s="11"/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9</v>
      </c>
      <c r="C86" s="72" t="s">
        <v>213</v>
      </c>
      <c r="D86" s="29"/>
      <c r="E86" s="2"/>
      <c r="F86" s="12"/>
      <c r="G86" s="11"/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10</v>
      </c>
      <c r="C87" s="72" t="s">
        <v>214</v>
      </c>
      <c r="D87" s="29"/>
      <c r="E87" s="2"/>
      <c r="F87" s="12"/>
      <c r="G87" s="11"/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11</v>
      </c>
      <c r="C88" s="72" t="s">
        <v>162</v>
      </c>
      <c r="D88" s="29"/>
      <c r="E88" s="2"/>
      <c r="F88" s="12"/>
      <c r="G88" s="11"/>
      <c r="H88" s="2"/>
      <c r="I88" s="12"/>
      <c r="J88" s="11"/>
      <c r="K88" s="2"/>
      <c r="L88" s="12">
        <v>0</v>
      </c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12</v>
      </c>
      <c r="C89" s="72" t="s">
        <v>215</v>
      </c>
      <c r="D89" s="29"/>
      <c r="E89" s="2"/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13</v>
      </c>
      <c r="C90" s="72" t="s">
        <v>218</v>
      </c>
      <c r="D90" s="29"/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14</v>
      </c>
      <c r="C91" s="72" t="s">
        <v>216</v>
      </c>
      <c r="D91" s="29"/>
      <c r="E91" s="2"/>
      <c r="F91" s="12"/>
      <c r="G91" s="11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15</v>
      </c>
      <c r="C92" s="72" t="s">
        <v>217</v>
      </c>
      <c r="D92" s="29"/>
      <c r="E92" s="2"/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16</v>
      </c>
      <c r="C93" s="72" t="s">
        <v>204</v>
      </c>
      <c r="D93" s="29"/>
      <c r="E93" s="23"/>
      <c r="F93" s="24"/>
      <c r="G93" s="22"/>
      <c r="H93" s="23"/>
      <c r="I93" s="24"/>
      <c r="J93" s="22"/>
      <c r="K93" s="23"/>
      <c r="L93" s="24"/>
      <c r="M93" s="22"/>
      <c r="N93" s="23"/>
      <c r="O93" s="24"/>
      <c r="P93" s="22"/>
      <c r="Q93" s="23"/>
      <c r="R93" s="24"/>
      <c r="S93" s="22"/>
      <c r="T93" s="23"/>
      <c r="U93" s="24"/>
    </row>
    <row r="94" spans="2:21" ht="15.6">
      <c r="B94" s="11">
        <v>17</v>
      </c>
      <c r="C94" s="72" t="s">
        <v>221</v>
      </c>
      <c r="D94" s="29"/>
      <c r="E94" s="23"/>
      <c r="F94" s="24"/>
      <c r="G94" s="22"/>
      <c r="H94" s="23"/>
      <c r="I94" s="24"/>
      <c r="J94" s="22"/>
      <c r="K94" s="23"/>
      <c r="L94" s="24"/>
      <c r="M94" s="22"/>
      <c r="N94" s="23"/>
      <c r="O94" s="24"/>
      <c r="P94" s="22"/>
      <c r="Q94" s="23"/>
      <c r="R94" s="24"/>
      <c r="S94" s="22"/>
      <c r="T94" s="23"/>
      <c r="U94" s="24"/>
    </row>
    <row r="95" spans="2:21" ht="16.2" thickBot="1">
      <c r="B95" s="11">
        <v>18</v>
      </c>
      <c r="C95" s="72" t="s">
        <v>220</v>
      </c>
      <c r="D95" s="29"/>
      <c r="E95" s="23"/>
      <c r="F95" s="24"/>
      <c r="G95" s="22"/>
      <c r="H95" s="23"/>
      <c r="I95" s="24"/>
      <c r="J95" s="22"/>
      <c r="K95" s="23"/>
      <c r="L95" s="24"/>
      <c r="M95" s="22"/>
      <c r="N95" s="23"/>
      <c r="O95" s="24"/>
      <c r="P95" s="22"/>
      <c r="Q95" s="23"/>
      <c r="R95" s="24"/>
      <c r="S95" s="22"/>
      <c r="T95" s="23"/>
      <c r="U95" s="24"/>
    </row>
    <row r="96" spans="2:21" ht="15" thickBot="1">
      <c r="B96" s="142" t="s">
        <v>14</v>
      </c>
      <c r="C96" s="143"/>
      <c r="D96" s="137">
        <f>(COUNTIF(D78:D95, "X"))/((COUNTA($C$78:$C$95))-(COUNTA(F78:F95)))</f>
        <v>0</v>
      </c>
      <c r="E96" s="138"/>
      <c r="F96" s="139"/>
      <c r="G96" s="137">
        <f>(COUNTIF(G82:G95, "X"))/((COUNTA($C$82:$C$95))-(COUNTA(I82:I95)))</f>
        <v>0</v>
      </c>
      <c r="H96" s="138"/>
      <c r="I96" s="139"/>
      <c r="J96" s="137">
        <f>(COUNTIF(J82:J95, "X"))/((COUNTA($C$19:$C$31))-(COUNTA(L82:L95)))</f>
        <v>0</v>
      </c>
      <c r="K96" s="138"/>
      <c r="L96" s="139"/>
      <c r="M96" s="137">
        <f>(COUNTIF(M82:M95, "X"))/((COUNTA($C$19:$C$31))-(COUNTA(O82:O95)))</f>
        <v>0</v>
      </c>
      <c r="N96" s="138"/>
      <c r="O96" s="139"/>
      <c r="P96" s="137">
        <f>(COUNTIF(P82:P95, "X"))/((COUNTA($C$19:$C$31))-(COUNTA(R82:R95)))</f>
        <v>0</v>
      </c>
      <c r="Q96" s="138"/>
      <c r="R96" s="139"/>
      <c r="S96" s="137">
        <f>(COUNTIF(S82:S95, "X"))/((COUNTA($C$19:$C$31))-(COUNTA(U82:U95)))</f>
        <v>0</v>
      </c>
      <c r="T96" s="138"/>
      <c r="U96" s="139"/>
    </row>
    <row r="97" spans="2:21">
      <c r="B97" s="147"/>
      <c r="C97" s="148"/>
      <c r="D97" s="16"/>
      <c r="E97" s="5"/>
      <c r="F97" s="17"/>
      <c r="G97" s="16"/>
      <c r="H97" s="5"/>
      <c r="I97" s="17"/>
      <c r="J97" s="16"/>
      <c r="K97" s="5"/>
      <c r="L97" s="17"/>
      <c r="M97" s="16"/>
      <c r="N97" s="5"/>
      <c r="O97" s="17"/>
      <c r="P97" s="16"/>
      <c r="Q97" s="5"/>
      <c r="R97" s="17"/>
      <c r="S97" s="16"/>
      <c r="T97" s="5"/>
      <c r="U97" s="17"/>
    </row>
    <row r="98" spans="2:21" ht="15.6">
      <c r="B98" s="11">
        <v>1</v>
      </c>
      <c r="C98" s="72"/>
      <c r="D98" s="11"/>
      <c r="E98" s="2"/>
      <c r="F98" s="12"/>
      <c r="G98" s="11"/>
      <c r="H98" s="2"/>
      <c r="I98" s="12"/>
      <c r="J98" s="11"/>
      <c r="K98" s="2"/>
      <c r="L98" s="12"/>
      <c r="M98" s="11"/>
      <c r="N98" s="2"/>
      <c r="O98" s="12"/>
      <c r="P98" s="11"/>
      <c r="Q98" s="2"/>
      <c r="R98" s="12"/>
      <c r="S98" s="11"/>
      <c r="T98" s="2"/>
      <c r="U98" s="12"/>
    </row>
    <row r="99" spans="2:21" ht="15.6">
      <c r="B99" s="11">
        <v>2</v>
      </c>
      <c r="C99" s="72"/>
      <c r="D99" s="11"/>
      <c r="E99" s="2"/>
      <c r="F99" s="12"/>
      <c r="G99" s="11"/>
      <c r="H99" s="2"/>
      <c r="I99" s="12"/>
      <c r="J99" s="11"/>
      <c r="K99" s="2"/>
      <c r="L99" s="12"/>
      <c r="M99" s="11"/>
      <c r="N99" s="2"/>
      <c r="O99" s="12"/>
      <c r="P99" s="11"/>
      <c r="Q99" s="2"/>
      <c r="R99" s="12"/>
      <c r="S99" s="11"/>
      <c r="T99" s="2"/>
      <c r="U99" s="12"/>
    </row>
    <row r="100" spans="2:21" ht="15.6">
      <c r="B100" s="11">
        <v>3</v>
      </c>
      <c r="C100" s="72"/>
      <c r="D100" s="11"/>
      <c r="E100" s="2"/>
      <c r="F100" s="12"/>
      <c r="G100" s="11"/>
      <c r="H100" s="2"/>
      <c r="I100" s="12"/>
      <c r="J100" s="11"/>
      <c r="K100" s="2"/>
      <c r="L100" s="12"/>
      <c r="M100" s="11"/>
      <c r="N100" s="2"/>
      <c r="O100" s="12"/>
      <c r="P100" s="11"/>
      <c r="Q100" s="2"/>
      <c r="R100" s="12"/>
      <c r="S100" s="11"/>
      <c r="T100" s="2"/>
      <c r="U100" s="12"/>
    </row>
    <row r="101" spans="2:21" ht="15.6">
      <c r="B101" s="11">
        <v>4</v>
      </c>
      <c r="C101" s="74"/>
      <c r="D101" s="22"/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.6">
      <c r="B102" s="11">
        <v>5</v>
      </c>
      <c r="C102" s="74"/>
      <c r="D102" s="22"/>
      <c r="E102" s="23"/>
      <c r="F102" s="24"/>
      <c r="G102" s="22"/>
      <c r="H102" s="23"/>
      <c r="I102" s="24"/>
      <c r="J102" s="22"/>
      <c r="K102" s="23"/>
      <c r="L102" s="24"/>
      <c r="M102" s="22"/>
      <c r="N102" s="23"/>
      <c r="O102" s="24"/>
      <c r="P102" s="22"/>
      <c r="Q102" s="23"/>
      <c r="R102" s="24"/>
      <c r="S102" s="22"/>
      <c r="T102" s="23"/>
      <c r="U102" s="24"/>
    </row>
    <row r="103" spans="2:21" ht="15.6">
      <c r="B103" s="11">
        <v>6</v>
      </c>
      <c r="C103" s="74"/>
      <c r="D103" s="22"/>
      <c r="E103" s="23"/>
      <c r="F103" s="24"/>
      <c r="G103" s="22"/>
      <c r="H103" s="23"/>
      <c r="I103" s="24"/>
      <c r="J103" s="22"/>
      <c r="K103" s="23"/>
      <c r="L103" s="24"/>
      <c r="M103" s="22"/>
      <c r="N103" s="23"/>
      <c r="O103" s="24"/>
      <c r="P103" s="22"/>
      <c r="Q103" s="23"/>
      <c r="R103" s="24"/>
      <c r="S103" s="22"/>
      <c r="T103" s="23"/>
      <c r="U103" s="24"/>
    </row>
    <row r="104" spans="2:21" ht="15.6">
      <c r="B104" s="11">
        <v>7</v>
      </c>
      <c r="C104" s="74"/>
      <c r="D104" s="22"/>
      <c r="E104" s="23"/>
      <c r="F104" s="24"/>
      <c r="G104" s="22"/>
      <c r="H104" s="23"/>
      <c r="I104" s="24"/>
      <c r="J104" s="22"/>
      <c r="K104" s="23"/>
      <c r="L104" s="24"/>
      <c r="M104" s="22"/>
      <c r="N104" s="23"/>
      <c r="O104" s="24"/>
      <c r="P104" s="22"/>
      <c r="Q104" s="23"/>
      <c r="R104" s="24"/>
      <c r="S104" s="22"/>
      <c r="T104" s="23"/>
      <c r="U104" s="24"/>
    </row>
    <row r="105" spans="2:21" ht="15.6">
      <c r="B105" s="11">
        <v>8</v>
      </c>
      <c r="C105" s="74"/>
      <c r="D105" s="22"/>
      <c r="E105" s="23"/>
      <c r="F105" s="24"/>
      <c r="G105" s="22"/>
      <c r="H105" s="23"/>
      <c r="I105" s="24"/>
      <c r="J105" s="22"/>
      <c r="K105" s="23"/>
      <c r="L105" s="24"/>
      <c r="M105" s="22"/>
      <c r="N105" s="23"/>
      <c r="O105" s="24"/>
      <c r="P105" s="22"/>
      <c r="Q105" s="23"/>
      <c r="R105" s="24"/>
      <c r="S105" s="22"/>
      <c r="T105" s="23"/>
      <c r="U105" s="24"/>
    </row>
    <row r="106" spans="2:21" ht="15.6">
      <c r="B106" s="11">
        <v>9</v>
      </c>
      <c r="C106" s="74"/>
      <c r="D106" s="22"/>
      <c r="E106" s="23"/>
      <c r="F106" s="24"/>
      <c r="G106" s="22"/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6.2" thickBot="1">
      <c r="B107" s="11">
        <v>10</v>
      </c>
      <c r="C107" s="74"/>
      <c r="D107" s="22"/>
      <c r="E107" s="23"/>
      <c r="F107" s="24"/>
      <c r="G107" s="22"/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>
      <c r="B108" s="142" t="s">
        <v>14</v>
      </c>
      <c r="C108" s="143"/>
      <c r="D108" s="149">
        <f>(COUNTIF(D98:D107, "X"))/((COUNTA($C$63:$C$72))-(COUNTA(F98:F107)))</f>
        <v>0</v>
      </c>
      <c r="E108" s="150"/>
      <c r="F108" s="151"/>
      <c r="G108" s="149">
        <f>(COUNTIF(G98:G107, "X"))/((COUNTA($C$63:$C$72))-(COUNTA(I98:I107)))</f>
        <v>0</v>
      </c>
      <c r="H108" s="150"/>
      <c r="I108" s="151"/>
      <c r="J108" s="149">
        <f>(COUNTIF(J98:J107, "X"))/((COUNTA($C$63:$C$72))-(COUNTA(L98:L107)))</f>
        <v>0</v>
      </c>
      <c r="K108" s="150"/>
      <c r="L108" s="151"/>
      <c r="M108" s="149">
        <f>(COUNTIF(M98:M107, "X"))/((COUNTA($C$63:$C$72))-(COUNTA(O98:O107)))</f>
        <v>0</v>
      </c>
      <c r="N108" s="150"/>
      <c r="O108" s="151"/>
      <c r="P108" s="149">
        <f>(COUNTIF(P98:P107, "X"))/((COUNTA($C$63:$C$72))-(COUNTA(R98:R107)))</f>
        <v>0</v>
      </c>
      <c r="Q108" s="150"/>
      <c r="R108" s="151"/>
      <c r="S108" s="149">
        <f>(COUNTIF(S98:S107, "X"))/((COUNTA($C$63:$C$72))-(COUNTA(U98:U107)))</f>
        <v>0</v>
      </c>
      <c r="T108" s="150"/>
      <c r="U108" s="151"/>
    </row>
    <row r="109" spans="2:21">
      <c r="B109" s="147" t="s">
        <v>129</v>
      </c>
      <c r="C109" s="148"/>
      <c r="D109" s="16"/>
      <c r="E109" s="5"/>
      <c r="F109" s="17"/>
      <c r="G109" s="16"/>
      <c r="H109" s="5"/>
      <c r="I109" s="17"/>
      <c r="J109" s="16"/>
      <c r="K109" s="5"/>
      <c r="L109" s="17"/>
      <c r="M109" s="16"/>
      <c r="N109" s="5"/>
      <c r="O109" s="17"/>
      <c r="P109" s="16"/>
      <c r="Q109" s="5"/>
      <c r="R109" s="17"/>
      <c r="S109" s="16"/>
      <c r="T109" s="5"/>
      <c r="U109" s="17"/>
    </row>
    <row r="110" spans="2:21" ht="15.6">
      <c r="B110" s="11">
        <v>1</v>
      </c>
      <c r="C110" s="72"/>
      <c r="D110" s="11"/>
      <c r="E110" s="2"/>
      <c r="F110" s="12"/>
      <c r="G110" s="11"/>
      <c r="H110" s="2"/>
      <c r="I110" s="12"/>
      <c r="J110" s="11"/>
      <c r="K110" s="2"/>
      <c r="L110" s="12"/>
      <c r="M110" s="11"/>
      <c r="N110" s="2"/>
      <c r="O110" s="12"/>
      <c r="P110" s="11"/>
      <c r="Q110" s="2"/>
      <c r="R110" s="12"/>
      <c r="S110" s="11"/>
      <c r="T110" s="2"/>
      <c r="U110" s="12"/>
    </row>
    <row r="111" spans="2:21" ht="15.6">
      <c r="B111" s="11">
        <v>2</v>
      </c>
      <c r="C111" s="72"/>
      <c r="D111" s="11"/>
      <c r="E111" s="2"/>
      <c r="F111" s="12"/>
      <c r="G111" s="11"/>
      <c r="H111" s="2"/>
      <c r="I111" s="12"/>
      <c r="J111" s="11"/>
      <c r="K111" s="2"/>
      <c r="L111" s="12"/>
      <c r="M111" s="11"/>
      <c r="N111" s="2"/>
      <c r="O111" s="12"/>
      <c r="P111" s="11"/>
      <c r="Q111" s="2"/>
      <c r="R111" s="12"/>
      <c r="S111" s="11"/>
      <c r="T111" s="2"/>
      <c r="U111" s="12"/>
    </row>
    <row r="112" spans="2:21" ht="15.6">
      <c r="B112" s="11">
        <v>3</v>
      </c>
      <c r="C112" s="72"/>
      <c r="D112" s="11"/>
      <c r="E112" s="2"/>
      <c r="F112" s="12"/>
      <c r="G112" s="11"/>
      <c r="H112" s="2"/>
      <c r="I112" s="12"/>
      <c r="J112" s="11"/>
      <c r="K112" s="2"/>
      <c r="L112" s="12"/>
      <c r="M112" s="11"/>
      <c r="N112" s="2"/>
      <c r="O112" s="12"/>
      <c r="P112" s="11"/>
      <c r="Q112" s="2"/>
      <c r="R112" s="12"/>
      <c r="S112" s="11"/>
      <c r="T112" s="2"/>
      <c r="U112" s="12"/>
    </row>
    <row r="113" spans="2:21" ht="15.6">
      <c r="B113" s="11">
        <v>4</v>
      </c>
      <c r="C113" s="74"/>
      <c r="D113" s="22"/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5</v>
      </c>
      <c r="C114" s="74"/>
      <c r="D114" s="22"/>
      <c r="E114" s="23"/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6</v>
      </c>
      <c r="C115" s="74"/>
      <c r="D115" s="22"/>
      <c r="E115" s="23"/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5.6">
      <c r="B116" s="11">
        <v>7</v>
      </c>
      <c r="C116" s="74"/>
      <c r="D116" s="22"/>
      <c r="E116" s="23"/>
      <c r="F116" s="24"/>
      <c r="G116" s="22"/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 ht="15.6">
      <c r="B117" s="11">
        <v>8</v>
      </c>
      <c r="C117" s="74"/>
      <c r="D117" s="22"/>
      <c r="E117" s="23"/>
      <c r="F117" s="24"/>
      <c r="G117" s="22"/>
      <c r="H117" s="23"/>
      <c r="I117" s="24"/>
      <c r="J117" s="22"/>
      <c r="K117" s="23"/>
      <c r="L117" s="24"/>
      <c r="M117" s="22"/>
      <c r="N117" s="23"/>
      <c r="O117" s="24"/>
      <c r="P117" s="22"/>
      <c r="Q117" s="23"/>
      <c r="R117" s="24"/>
      <c r="S117" s="22"/>
      <c r="T117" s="23"/>
      <c r="U117" s="24"/>
    </row>
    <row r="118" spans="2:21" ht="15.6">
      <c r="B118" s="11">
        <v>9</v>
      </c>
      <c r="C118" s="74"/>
      <c r="D118" s="22"/>
      <c r="E118" s="23"/>
      <c r="F118" s="24"/>
      <c r="G118" s="22"/>
      <c r="H118" s="23"/>
      <c r="I118" s="24"/>
      <c r="J118" s="22"/>
      <c r="K118" s="23"/>
      <c r="L118" s="24"/>
      <c r="M118" s="22"/>
      <c r="N118" s="23"/>
      <c r="O118" s="24"/>
      <c r="P118" s="22"/>
      <c r="Q118" s="23"/>
      <c r="R118" s="24"/>
      <c r="S118" s="22"/>
      <c r="T118" s="23"/>
      <c r="U118" s="24"/>
    </row>
    <row r="119" spans="2:21" ht="16.2" thickBot="1">
      <c r="B119" s="11">
        <v>10</v>
      </c>
      <c r="C119" s="74"/>
      <c r="D119" s="22"/>
      <c r="E119" s="23"/>
      <c r="F119" s="24"/>
      <c r="G119" s="22"/>
      <c r="H119" s="23"/>
      <c r="I119" s="24"/>
      <c r="J119" s="22"/>
      <c r="K119" s="23"/>
      <c r="L119" s="24"/>
      <c r="M119" s="22"/>
      <c r="N119" s="23"/>
      <c r="O119" s="24"/>
      <c r="P119" s="22"/>
      <c r="Q119" s="23"/>
      <c r="R119" s="24"/>
      <c r="S119" s="22"/>
      <c r="T119" s="23"/>
      <c r="U119" s="24"/>
    </row>
    <row r="120" spans="2:21">
      <c r="B120" s="142" t="s">
        <v>14</v>
      </c>
      <c r="C120" s="143"/>
      <c r="D120" s="149">
        <f>(COUNTIF(D110:D119, "X"))/((COUNTA($C$63:$C$72))-(COUNTA(F110:F119)))</f>
        <v>0</v>
      </c>
      <c r="E120" s="150"/>
      <c r="F120" s="151"/>
      <c r="G120" s="149">
        <f>(COUNTIF(G110:G119, "X"))/((COUNTA($C$63:$C$72))-(COUNTA(I110:I119)))</f>
        <v>0</v>
      </c>
      <c r="H120" s="150"/>
      <c r="I120" s="151"/>
      <c r="J120" s="149">
        <f>(COUNTIF(J110:J119, "X"))/((COUNTA($C$63:$C$72))-(COUNTA(L110:L119)))</f>
        <v>0</v>
      </c>
      <c r="K120" s="150"/>
      <c r="L120" s="151"/>
      <c r="M120" s="149">
        <f>(COUNTIF(M110:M119, "X"))/((COUNTA($C$63:$C$72))-(COUNTA(O110:O119)))</f>
        <v>0</v>
      </c>
      <c r="N120" s="150"/>
      <c r="O120" s="151"/>
      <c r="P120" s="149">
        <f>(COUNTIF(P110:P119, "X"))/((COUNTA($C$63:$C$72))-(COUNTA(R110:R119)))</f>
        <v>0</v>
      </c>
      <c r="Q120" s="150"/>
      <c r="R120" s="151"/>
      <c r="S120" s="149">
        <f>(COUNTIF(S110:S119, "X"))/((COUNTA($C$63:$C$72))-(COUNTA(U110:U119)))</f>
        <v>0</v>
      </c>
      <c r="T120" s="150"/>
      <c r="U120" s="151"/>
    </row>
  </sheetData>
  <mergeCells count="67">
    <mergeCell ref="S2:U3"/>
    <mergeCell ref="B4:C4"/>
    <mergeCell ref="B17:C17"/>
    <mergeCell ref="D17:F17"/>
    <mergeCell ref="G17:I17"/>
    <mergeCell ref="J17:L17"/>
    <mergeCell ref="M17:O17"/>
    <mergeCell ref="P17:R17"/>
    <mergeCell ref="S17:U17"/>
    <mergeCell ref="B2:C3"/>
    <mergeCell ref="E2:F3"/>
    <mergeCell ref="H2:I3"/>
    <mergeCell ref="K2:L3"/>
    <mergeCell ref="N2:O3"/>
    <mergeCell ref="Q2:R3"/>
    <mergeCell ref="S32:U32"/>
    <mergeCell ref="B49:C49"/>
    <mergeCell ref="D49:F49"/>
    <mergeCell ref="G49:I49"/>
    <mergeCell ref="J49:L49"/>
    <mergeCell ref="M49:O49"/>
    <mergeCell ref="P49:R49"/>
    <mergeCell ref="S49:U49"/>
    <mergeCell ref="B32:C32"/>
    <mergeCell ref="D32:F32"/>
    <mergeCell ref="G32:I32"/>
    <mergeCell ref="J32:L32"/>
    <mergeCell ref="M32:O32"/>
    <mergeCell ref="P32:R32"/>
    <mergeCell ref="B50:C50"/>
    <mergeCell ref="B61:C61"/>
    <mergeCell ref="D61:F61"/>
    <mergeCell ref="G61:I61"/>
    <mergeCell ref="J61:L61"/>
    <mergeCell ref="P61:R61"/>
    <mergeCell ref="S61:U61"/>
    <mergeCell ref="B76:C76"/>
    <mergeCell ref="D76:F76"/>
    <mergeCell ref="G76:I76"/>
    <mergeCell ref="J76:L76"/>
    <mergeCell ref="M76:O76"/>
    <mergeCell ref="P76:R76"/>
    <mergeCell ref="S76:U76"/>
    <mergeCell ref="M61:O61"/>
    <mergeCell ref="S96:U96"/>
    <mergeCell ref="B97:C97"/>
    <mergeCell ref="B108:C108"/>
    <mergeCell ref="D108:F108"/>
    <mergeCell ref="G108:I108"/>
    <mergeCell ref="J108:L108"/>
    <mergeCell ref="M108:O108"/>
    <mergeCell ref="P108:R108"/>
    <mergeCell ref="S108:U108"/>
    <mergeCell ref="B96:C96"/>
    <mergeCell ref="D96:F96"/>
    <mergeCell ref="G96:I96"/>
    <mergeCell ref="J96:L96"/>
    <mergeCell ref="M96:O96"/>
    <mergeCell ref="P96:R96"/>
    <mergeCell ref="P120:R120"/>
    <mergeCell ref="S120:U120"/>
    <mergeCell ref="B109:C109"/>
    <mergeCell ref="B120:C120"/>
    <mergeCell ref="D120:F120"/>
    <mergeCell ref="G120:I120"/>
    <mergeCell ref="J120:L120"/>
    <mergeCell ref="M120:O1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36F6-03FC-43E4-B8D7-DCD8AA2644A2}">
  <dimension ref="B2:X116"/>
  <sheetViews>
    <sheetView zoomScale="85" zoomScaleNormal="85" workbookViewId="0">
      <pane xSplit="3" ySplit="6" topLeftCell="D56" activePane="bottomRight" state="frozen"/>
      <selection pane="topRight" activeCell="D1" sqref="D1"/>
      <selection pane="bottomLeft" activeCell="A7" sqref="A7"/>
      <selection pane="bottomRight" activeCell="C65" sqref="C65"/>
    </sheetView>
  </sheetViews>
  <sheetFormatPr baseColWidth="10" defaultRowHeight="14.4"/>
  <cols>
    <col min="2" max="2" width="3.33203125" style="1" customWidth="1"/>
    <col min="3" max="3" width="58.44140625" bestFit="1" customWidth="1"/>
    <col min="4" max="4" width="11.109375" bestFit="1" customWidth="1"/>
    <col min="5" max="5" width="11.33203125" customWidth="1"/>
    <col min="6" max="6" width="15.44140625" customWidth="1"/>
    <col min="7" max="7" width="11.33203125" customWidth="1"/>
    <col min="8" max="8" width="10.77734375" customWidth="1"/>
    <col min="9" max="9" width="11" customWidth="1"/>
    <col min="10" max="10" width="10.77734375" bestFit="1" customWidth="1"/>
    <col min="11" max="11" width="8" bestFit="1" customWidth="1"/>
    <col min="12" max="12" width="8.6640625" customWidth="1"/>
    <col min="14" max="14" width="9.109375" customWidth="1"/>
    <col min="15" max="15" width="8.33203125" customWidth="1"/>
    <col min="16" max="21" width="8.6640625" customWidth="1"/>
  </cols>
  <sheetData>
    <row r="2" spans="2:24" ht="15" thickBot="1"/>
    <row r="3" spans="2:24">
      <c r="B3" s="117" t="s">
        <v>43</v>
      </c>
      <c r="C3" s="118"/>
      <c r="D3" s="64" t="s">
        <v>0</v>
      </c>
      <c r="E3" s="169">
        <v>46055</v>
      </c>
      <c r="F3" s="170"/>
      <c r="G3" s="64" t="s">
        <v>0</v>
      </c>
      <c r="H3" s="169">
        <v>46055</v>
      </c>
      <c r="I3" s="170"/>
      <c r="J3" s="64" t="s">
        <v>0</v>
      </c>
      <c r="K3" s="169">
        <f>H3+1</f>
        <v>46056</v>
      </c>
      <c r="L3" s="170"/>
      <c r="M3" s="64" t="s">
        <v>0</v>
      </c>
      <c r="N3" s="169">
        <f t="shared" ref="N3" si="0">K3+1</f>
        <v>46057</v>
      </c>
      <c r="O3" s="170"/>
      <c r="P3" s="64" t="s">
        <v>0</v>
      </c>
      <c r="Q3" s="169">
        <f t="shared" ref="Q3" si="1">N3+1</f>
        <v>46058</v>
      </c>
      <c r="R3" s="170"/>
      <c r="S3" s="158" t="s">
        <v>100</v>
      </c>
      <c r="T3" s="159"/>
      <c r="U3" s="160"/>
    </row>
    <row r="4" spans="2:24">
      <c r="B4" s="119"/>
      <c r="C4" s="120"/>
      <c r="D4" s="11" t="s">
        <v>1</v>
      </c>
      <c r="E4" s="171"/>
      <c r="F4" s="172"/>
      <c r="G4" s="11" t="s">
        <v>1</v>
      </c>
      <c r="H4" s="171">
        <v>45916</v>
      </c>
      <c r="I4" s="172"/>
      <c r="J4" s="11" t="s">
        <v>1</v>
      </c>
      <c r="K4" s="171">
        <v>45916</v>
      </c>
      <c r="L4" s="172"/>
      <c r="M4" s="11" t="s">
        <v>1</v>
      </c>
      <c r="N4" s="171">
        <v>45916</v>
      </c>
      <c r="O4" s="172"/>
      <c r="P4" s="11" t="s">
        <v>1</v>
      </c>
      <c r="Q4" s="171">
        <v>45916</v>
      </c>
      <c r="R4" s="172"/>
      <c r="S4" s="161"/>
      <c r="T4" s="162"/>
      <c r="U4" s="163"/>
    </row>
    <row r="5" spans="2:24" ht="28.8">
      <c r="B5" s="131"/>
      <c r="C5" s="132"/>
      <c r="D5" s="13" t="s">
        <v>2</v>
      </c>
      <c r="E5" s="3" t="s">
        <v>3</v>
      </c>
      <c r="F5" s="65" t="s">
        <v>4</v>
      </c>
      <c r="G5" s="13" t="s">
        <v>2</v>
      </c>
      <c r="H5" s="3" t="s">
        <v>3</v>
      </c>
      <c r="I5" s="65" t="s">
        <v>4</v>
      </c>
      <c r="J5" s="13" t="s">
        <v>2</v>
      </c>
      <c r="K5" s="3" t="s">
        <v>3</v>
      </c>
      <c r="L5" s="65" t="s">
        <v>4</v>
      </c>
      <c r="M5" s="13" t="s">
        <v>2</v>
      </c>
      <c r="N5" s="3" t="s">
        <v>3</v>
      </c>
      <c r="O5" s="65" t="s">
        <v>4</v>
      </c>
      <c r="P5" s="13" t="s">
        <v>2</v>
      </c>
      <c r="Q5" s="3" t="s">
        <v>3</v>
      </c>
      <c r="R5" s="65" t="s">
        <v>4</v>
      </c>
      <c r="S5" s="13" t="s">
        <v>2</v>
      </c>
      <c r="T5" s="3" t="s">
        <v>3</v>
      </c>
      <c r="U5" s="65" t="s">
        <v>4</v>
      </c>
    </row>
    <row r="6" spans="2:24">
      <c r="B6" s="14" t="s">
        <v>188</v>
      </c>
      <c r="C6" s="14" t="s">
        <v>89</v>
      </c>
      <c r="D6" s="79">
        <v>46085</v>
      </c>
      <c r="E6" s="4"/>
      <c r="F6" s="15"/>
      <c r="G6" s="79">
        <v>46098</v>
      </c>
      <c r="H6" s="4"/>
      <c r="I6" s="15"/>
      <c r="J6" s="79"/>
      <c r="K6" s="4"/>
      <c r="L6" s="15"/>
      <c r="M6" s="14"/>
      <c r="N6" s="4"/>
      <c r="O6" s="15"/>
      <c r="P6" s="14"/>
      <c r="Q6" s="4"/>
      <c r="R6" s="15"/>
      <c r="S6" s="14"/>
      <c r="T6" s="4"/>
      <c r="U6" s="15"/>
      <c r="W6" t="s">
        <v>101</v>
      </c>
      <c r="X6" s="75"/>
    </row>
    <row r="7" spans="2:24" ht="15.6">
      <c r="B7" s="84">
        <v>1</v>
      </c>
      <c r="C7" s="72" t="s">
        <v>77</v>
      </c>
      <c r="D7" s="84"/>
      <c r="E7" s="85" t="s">
        <v>67</v>
      </c>
      <c r="F7" s="89"/>
      <c r="G7" s="11"/>
      <c r="H7" s="2" t="s">
        <v>72</v>
      </c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  <c r="W7" t="s">
        <v>102</v>
      </c>
      <c r="X7" s="76"/>
    </row>
    <row r="8" spans="2:24" ht="15.6">
      <c r="B8" s="84">
        <v>2</v>
      </c>
      <c r="C8" s="72" t="s">
        <v>78</v>
      </c>
      <c r="D8" s="84"/>
      <c r="E8" s="85" t="s">
        <v>67</v>
      </c>
      <c r="F8" s="89"/>
      <c r="G8" s="11" t="s">
        <v>72</v>
      </c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5.6">
      <c r="B9" s="84">
        <v>3</v>
      </c>
      <c r="C9" s="72" t="s">
        <v>79</v>
      </c>
      <c r="D9" s="105"/>
      <c r="E9" s="85" t="s">
        <v>72</v>
      </c>
      <c r="F9" s="89"/>
      <c r="G9" s="93" t="s">
        <v>72</v>
      </c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5.6">
      <c r="B10" s="84">
        <v>4</v>
      </c>
      <c r="C10" s="72" t="s">
        <v>80</v>
      </c>
      <c r="D10" s="84" t="s">
        <v>72</v>
      </c>
      <c r="E10" s="85"/>
      <c r="F10" s="89"/>
      <c r="G10" s="11" t="s">
        <v>72</v>
      </c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5.6">
      <c r="B11" s="84">
        <v>5</v>
      </c>
      <c r="C11" s="72" t="s">
        <v>189</v>
      </c>
      <c r="D11" s="84" t="s">
        <v>72</v>
      </c>
      <c r="E11" s="85"/>
      <c r="F11" s="89"/>
      <c r="G11" s="93"/>
      <c r="H11" s="2" t="s">
        <v>72</v>
      </c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5.6">
      <c r="B12" s="84">
        <v>6</v>
      </c>
      <c r="C12" s="72" t="s">
        <v>81</v>
      </c>
      <c r="D12" s="84" t="s">
        <v>72</v>
      </c>
      <c r="E12" s="85"/>
      <c r="F12" s="89"/>
      <c r="G12" s="11" t="s">
        <v>72</v>
      </c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5.6">
      <c r="B13" s="84">
        <v>7</v>
      </c>
      <c r="C13" s="72" t="s">
        <v>82</v>
      </c>
      <c r="D13" s="84" t="s">
        <v>72</v>
      </c>
      <c r="E13" s="85"/>
      <c r="F13" s="89"/>
      <c r="G13" s="93" t="s">
        <v>72</v>
      </c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  <c r="X13">
        <v>43</v>
      </c>
    </row>
    <row r="14" spans="2:24" ht="15.6">
      <c r="B14" s="84">
        <v>8</v>
      </c>
      <c r="C14" s="72" t="s">
        <v>190</v>
      </c>
      <c r="D14" s="84" t="s">
        <v>72</v>
      </c>
      <c r="E14" s="85"/>
      <c r="F14" s="89"/>
      <c r="G14" s="11" t="s">
        <v>72</v>
      </c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  <c r="X14">
        <v>64</v>
      </c>
    </row>
    <row r="15" spans="2:24" ht="15.6">
      <c r="B15" s="84">
        <v>9</v>
      </c>
      <c r="C15" s="72" t="s">
        <v>170</v>
      </c>
      <c r="D15" s="84" t="s">
        <v>72</v>
      </c>
      <c r="E15" s="85"/>
      <c r="F15" s="90"/>
      <c r="G15" s="11" t="s">
        <v>72</v>
      </c>
      <c r="H15" s="22"/>
      <c r="I15" s="12"/>
      <c r="J15" s="11"/>
      <c r="K15" s="2"/>
      <c r="L15" s="12"/>
      <c r="M15" s="11"/>
      <c r="N15" s="2"/>
      <c r="O15" s="12"/>
      <c r="P15" s="11"/>
      <c r="Q15" s="2"/>
      <c r="R15" s="12"/>
      <c r="S15" s="11"/>
      <c r="T15" s="2"/>
      <c r="U15" s="12"/>
    </row>
    <row r="16" spans="2:24" ht="15.6">
      <c r="B16" s="84">
        <v>10</v>
      </c>
      <c r="C16" s="72" t="s">
        <v>111</v>
      </c>
      <c r="D16" s="84" t="s">
        <v>72</v>
      </c>
      <c r="E16" s="87"/>
      <c r="F16" s="91"/>
      <c r="H16" s="23" t="s">
        <v>72</v>
      </c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5.6">
      <c r="B17" s="84">
        <v>11</v>
      </c>
      <c r="C17" s="72" t="s">
        <v>191</v>
      </c>
      <c r="D17" s="84" t="s">
        <v>72</v>
      </c>
      <c r="E17" s="87"/>
      <c r="F17" s="91"/>
      <c r="G17" s="22" t="s">
        <v>72</v>
      </c>
      <c r="H17" s="23"/>
      <c r="I17" s="24"/>
      <c r="J17" s="22"/>
      <c r="K17" s="23"/>
      <c r="L17" s="24"/>
      <c r="M17" s="22"/>
      <c r="N17" s="23"/>
      <c r="O17" s="24"/>
      <c r="P17" s="22"/>
      <c r="Q17" s="23"/>
      <c r="R17" s="24"/>
      <c r="S17" s="22"/>
      <c r="T17" s="23"/>
      <c r="U17" s="24"/>
    </row>
    <row r="18" spans="2:21" ht="15.6">
      <c r="B18" s="84">
        <v>12</v>
      </c>
      <c r="C18" s="72" t="s">
        <v>192</v>
      </c>
      <c r="D18" s="84" t="s">
        <v>72</v>
      </c>
      <c r="E18" s="87"/>
      <c r="F18" s="91"/>
      <c r="G18" s="22" t="s">
        <v>72</v>
      </c>
      <c r="H18" s="23"/>
      <c r="I18" s="24"/>
      <c r="J18" s="22"/>
      <c r="K18" s="23"/>
      <c r="L18" s="24"/>
      <c r="M18" s="22"/>
      <c r="N18" s="23"/>
      <c r="O18" s="24"/>
      <c r="P18" s="22"/>
      <c r="Q18" s="23"/>
      <c r="R18" s="24"/>
      <c r="S18" s="22"/>
      <c r="T18" s="23"/>
      <c r="U18" s="24"/>
    </row>
    <row r="19" spans="2:21" ht="15.6">
      <c r="B19" s="84">
        <v>13</v>
      </c>
      <c r="C19" s="72" t="s">
        <v>193</v>
      </c>
      <c r="D19" s="84" t="s">
        <v>72</v>
      </c>
      <c r="E19" s="87"/>
      <c r="F19" s="91"/>
      <c r="G19" s="22" t="s">
        <v>72</v>
      </c>
      <c r="H19" s="23"/>
      <c r="I19" s="24"/>
      <c r="J19" s="22"/>
      <c r="K19" s="23"/>
      <c r="L19" s="24"/>
      <c r="M19" s="22"/>
      <c r="N19" s="23"/>
      <c r="O19" s="24"/>
      <c r="P19" s="22"/>
      <c r="Q19" s="23"/>
      <c r="R19" s="24"/>
      <c r="S19" s="22"/>
      <c r="T19" s="23"/>
      <c r="U19" s="24"/>
    </row>
    <row r="20" spans="2:21" ht="16.2" thickBot="1">
      <c r="B20" s="84">
        <v>15</v>
      </c>
      <c r="C20" s="72" t="s">
        <v>184</v>
      </c>
      <c r="D20" s="84" t="s">
        <v>72</v>
      </c>
      <c r="E20" s="87"/>
      <c r="F20" s="91"/>
      <c r="G20" s="22" t="s">
        <v>72</v>
      </c>
      <c r="H20" s="23"/>
      <c r="I20" s="24"/>
      <c r="J20" s="22"/>
      <c r="K20" s="23"/>
      <c r="L20" s="24"/>
      <c r="M20" s="22"/>
      <c r="N20" s="23"/>
      <c r="O20" s="24"/>
      <c r="P20" s="22"/>
      <c r="Q20" s="23"/>
      <c r="R20" s="24"/>
      <c r="S20" s="22"/>
      <c r="T20" s="23"/>
      <c r="U20" s="24"/>
    </row>
    <row r="21" spans="2:21" ht="15" thickBot="1">
      <c r="B21" s="164" t="s">
        <v>14</v>
      </c>
      <c r="C21" s="165"/>
      <c r="D21" s="166">
        <f>(COUNTIF(D7:D20, "X"))/((COUNTA($C$7:$C$20))-(COUNTA(F7:F20)))</f>
        <v>0.7857142857142857</v>
      </c>
      <c r="E21" s="167"/>
      <c r="F21" s="168"/>
      <c r="G21" s="137">
        <f>(COUNTIF(G7:G20, "X"))/((COUNTA($C$7:$C$20))-(COUNTA(I7:I20)))</f>
        <v>0.7857142857142857</v>
      </c>
      <c r="H21" s="138"/>
      <c r="I21" s="139"/>
      <c r="J21" s="137">
        <f>(COUNTIF(J7:J20, "X"))/((COUNTA($C$7:$C$20))-(COUNTA(L7:L20)))</f>
        <v>0</v>
      </c>
      <c r="K21" s="138"/>
      <c r="L21" s="139"/>
      <c r="M21" s="137">
        <f>(COUNTIF(M7:M20, "X"))/((COUNTA($C$7:$C$20))-(COUNTA(O7:O20)))</f>
        <v>0</v>
      </c>
      <c r="N21" s="138"/>
      <c r="O21" s="139"/>
      <c r="P21" s="137">
        <f>(COUNTIF(P7:P20, "X"))/((COUNTA($C$7:$C$20))-(COUNTA(R7:R20)))</f>
        <v>0</v>
      </c>
      <c r="Q21" s="138"/>
      <c r="R21" s="139"/>
      <c r="S21" s="137">
        <f>(COUNTIF(S7:S20, "X"))/((COUNTA($C$7:$C$20))-(COUNTA(U7:U20)))</f>
        <v>0</v>
      </c>
      <c r="T21" s="138"/>
      <c r="U21" s="139"/>
    </row>
    <row r="22" spans="2:21">
      <c r="B22" s="96" t="s">
        <v>188</v>
      </c>
      <c r="C22" s="96" t="s">
        <v>48</v>
      </c>
      <c r="D22" s="88">
        <v>46086</v>
      </c>
      <c r="E22" s="83" t="s">
        <v>235</v>
      </c>
      <c r="F22" s="27"/>
      <c r="G22" s="80">
        <v>46095</v>
      </c>
      <c r="H22" s="26" t="s">
        <v>233</v>
      </c>
      <c r="I22" s="27"/>
      <c r="J22" s="25"/>
      <c r="K22" s="26"/>
      <c r="L22" s="27"/>
      <c r="M22" s="25"/>
      <c r="N22" s="26"/>
      <c r="O22" s="27"/>
      <c r="P22" s="25"/>
      <c r="Q22" s="26"/>
      <c r="R22" s="27"/>
      <c r="S22" s="25"/>
      <c r="T22" s="26"/>
      <c r="U22" s="27"/>
    </row>
    <row r="23" spans="2:21" ht="15.6">
      <c r="B23" s="84">
        <v>1</v>
      </c>
      <c r="C23" s="72" t="s">
        <v>83</v>
      </c>
      <c r="D23" s="84" t="s">
        <v>72</v>
      </c>
      <c r="E23" s="85"/>
      <c r="F23" s="12"/>
      <c r="G23" s="11" t="s">
        <v>72</v>
      </c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84">
        <v>2</v>
      </c>
      <c r="C24" s="72" t="s">
        <v>84</v>
      </c>
      <c r="D24" s="84"/>
      <c r="E24" s="85" t="s">
        <v>72</v>
      </c>
      <c r="F24" s="12"/>
      <c r="G24" s="11"/>
      <c r="H24" s="2" t="s">
        <v>72</v>
      </c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84">
        <v>3</v>
      </c>
      <c r="C25" s="72" t="s">
        <v>147</v>
      </c>
      <c r="D25" s="84"/>
      <c r="E25" s="85" t="s">
        <v>72</v>
      </c>
      <c r="F25" s="12"/>
      <c r="G25" s="11"/>
      <c r="H25" s="2" t="s">
        <v>72</v>
      </c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84">
        <v>4</v>
      </c>
      <c r="C26" s="72" t="s">
        <v>148</v>
      </c>
      <c r="D26" s="84" t="s">
        <v>72</v>
      </c>
      <c r="E26" s="85"/>
      <c r="F26" s="12"/>
      <c r="G26" s="11"/>
      <c r="H26" s="2" t="s">
        <v>72</v>
      </c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84">
        <v>5</v>
      </c>
      <c r="C27" s="72" t="s">
        <v>194</v>
      </c>
      <c r="D27" s="84" t="s">
        <v>72</v>
      </c>
      <c r="E27" s="85"/>
      <c r="F27" s="12"/>
      <c r="G27" s="11" t="s">
        <v>72</v>
      </c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84">
        <v>6</v>
      </c>
      <c r="C28" s="72" t="s">
        <v>85</v>
      </c>
      <c r="D28" s="84" t="s">
        <v>72</v>
      </c>
      <c r="E28" s="85"/>
      <c r="F28" s="12"/>
      <c r="G28" s="11" t="s">
        <v>72</v>
      </c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84">
        <v>7</v>
      </c>
      <c r="C29" s="72" t="s">
        <v>86</v>
      </c>
      <c r="D29" s="84" t="s">
        <v>72</v>
      </c>
      <c r="E29" s="85"/>
      <c r="F29" s="12"/>
      <c r="G29" s="93" t="s">
        <v>72</v>
      </c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84">
        <v>8</v>
      </c>
      <c r="C30" s="72" t="s">
        <v>87</v>
      </c>
      <c r="D30" s="84" t="s">
        <v>72</v>
      </c>
      <c r="E30" s="85"/>
      <c r="F30" s="12"/>
      <c r="G30" s="11" t="s">
        <v>72</v>
      </c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5.6">
      <c r="B31" s="84">
        <v>9</v>
      </c>
      <c r="C31" s="72" t="s">
        <v>88</v>
      </c>
      <c r="D31" s="84" t="s">
        <v>72</v>
      </c>
      <c r="E31" s="85"/>
      <c r="F31" s="12"/>
      <c r="G31" s="11" t="s">
        <v>72</v>
      </c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.6">
      <c r="B32" s="84">
        <v>10</v>
      </c>
      <c r="C32" s="72" t="s">
        <v>195</v>
      </c>
      <c r="D32" s="84" t="s">
        <v>72</v>
      </c>
      <c r="E32" s="85"/>
      <c r="F32" s="12"/>
      <c r="G32" s="93" t="s">
        <v>72</v>
      </c>
      <c r="H32" s="2"/>
      <c r="I32" s="12"/>
      <c r="J32" s="11"/>
      <c r="K32" s="2"/>
      <c r="L32" s="12"/>
      <c r="M32" s="11"/>
      <c r="N32" s="2"/>
      <c r="O32" s="12"/>
      <c r="P32" s="11"/>
      <c r="Q32" s="2"/>
      <c r="R32" s="12"/>
      <c r="S32" s="11"/>
      <c r="T32" s="2"/>
      <c r="U32" s="12"/>
    </row>
    <row r="33" spans="2:21" ht="15.6">
      <c r="B33" s="84">
        <v>11</v>
      </c>
      <c r="C33" s="72" t="s">
        <v>192</v>
      </c>
      <c r="D33" s="84" t="s">
        <v>72</v>
      </c>
      <c r="E33" s="85"/>
      <c r="F33" s="12"/>
      <c r="G33" s="11" t="s">
        <v>72</v>
      </c>
      <c r="H33" s="2"/>
      <c r="I33" s="12"/>
      <c r="J33" s="11"/>
      <c r="K33" s="2"/>
      <c r="L33" s="12"/>
      <c r="M33" s="11"/>
      <c r="N33" s="2"/>
      <c r="O33" s="12"/>
      <c r="P33" s="11"/>
      <c r="Q33" s="2"/>
      <c r="R33" s="12"/>
      <c r="S33" s="11"/>
      <c r="T33" s="2"/>
      <c r="U33" s="12"/>
    </row>
    <row r="34" spans="2:21" ht="15.6">
      <c r="B34" s="84">
        <v>12</v>
      </c>
      <c r="C34" s="72" t="s">
        <v>108</v>
      </c>
      <c r="D34" s="86" t="s">
        <v>72</v>
      </c>
      <c r="E34" s="87"/>
      <c r="F34" s="24"/>
      <c r="G34" s="22" t="s">
        <v>72</v>
      </c>
      <c r="H34" s="23"/>
      <c r="I34" s="24"/>
      <c r="J34" s="22"/>
      <c r="K34" s="23"/>
      <c r="L34" s="24"/>
      <c r="M34" s="22"/>
      <c r="N34" s="23"/>
      <c r="O34" s="24"/>
      <c r="P34" s="22"/>
      <c r="Q34" s="23"/>
      <c r="R34" s="24"/>
      <c r="S34" s="22"/>
      <c r="T34" s="23"/>
      <c r="U34" s="24"/>
    </row>
    <row r="35" spans="2:21" ht="15.6">
      <c r="B35" s="84">
        <v>13</v>
      </c>
      <c r="C35" s="72" t="s">
        <v>184</v>
      </c>
      <c r="D35" s="86"/>
      <c r="E35" s="87" t="s">
        <v>72</v>
      </c>
      <c r="F35" s="24"/>
      <c r="G35" s="22" t="s">
        <v>72</v>
      </c>
      <c r="H35" s="23"/>
      <c r="I35" s="24"/>
      <c r="J35" s="22"/>
      <c r="K35" s="23"/>
      <c r="L35" s="24"/>
      <c r="M35" s="22"/>
      <c r="N35" s="23"/>
      <c r="O35" s="24"/>
      <c r="P35" s="22"/>
      <c r="Q35" s="23"/>
      <c r="R35" s="24"/>
      <c r="S35" s="22"/>
      <c r="T35" s="23"/>
      <c r="U35" s="24"/>
    </row>
    <row r="36" spans="2:21" ht="15.6">
      <c r="B36" s="84">
        <v>14</v>
      </c>
      <c r="C36" s="72" t="s">
        <v>146</v>
      </c>
      <c r="D36" s="86" t="s">
        <v>72</v>
      </c>
      <c r="E36" s="87"/>
      <c r="F36" s="24"/>
      <c r="G36" s="22" t="s">
        <v>72</v>
      </c>
      <c r="H36" s="23"/>
      <c r="I36" s="24"/>
      <c r="J36" s="22"/>
      <c r="K36" s="23"/>
      <c r="L36" s="24"/>
      <c r="M36" s="22"/>
      <c r="N36" s="23"/>
      <c r="O36" s="24"/>
      <c r="P36" s="22"/>
      <c r="Q36" s="23"/>
      <c r="R36" s="24"/>
      <c r="S36" s="22"/>
      <c r="T36" s="23"/>
      <c r="U36" s="24"/>
    </row>
    <row r="37" spans="2:21" ht="16.2" thickBot="1">
      <c r="B37" s="84">
        <v>15</v>
      </c>
      <c r="C37" s="72" t="s">
        <v>170</v>
      </c>
      <c r="D37" s="86" t="s">
        <v>72</v>
      </c>
      <c r="E37" s="87"/>
      <c r="F37" s="24"/>
      <c r="G37" s="22" t="s">
        <v>72</v>
      </c>
      <c r="H37" s="23"/>
      <c r="I37" s="24"/>
      <c r="J37" s="22"/>
      <c r="K37" s="23"/>
      <c r="L37" s="24"/>
      <c r="M37" s="22"/>
      <c r="N37" s="23"/>
      <c r="O37" s="24"/>
      <c r="P37" s="22"/>
      <c r="Q37" s="23"/>
      <c r="R37" s="24"/>
      <c r="S37" s="22"/>
      <c r="T37" s="23"/>
      <c r="U37" s="24"/>
    </row>
    <row r="38" spans="2:21" ht="15" thickBot="1">
      <c r="B38" s="142" t="s">
        <v>14</v>
      </c>
      <c r="C38" s="143"/>
      <c r="D38" s="137">
        <f>(COUNTIF(D23:D37, "X"))/((COUNTA($C$23:$C$37))-(COUNTA(F23:F37)))</f>
        <v>0.8</v>
      </c>
      <c r="E38" s="138"/>
      <c r="F38" s="139"/>
      <c r="G38" s="137">
        <f>(COUNTIF(G23:G37, "X"))/((COUNTA($C$23:$C$37))-(COUNTA(I23:I37)))</f>
        <v>0.8</v>
      </c>
      <c r="H38" s="138"/>
      <c r="I38" s="139"/>
      <c r="J38" s="137">
        <f>(COUNTIF(J23:J37, "X"))/((COUNTA($C$23:$C$37))-(COUNTA(L23:L37)))</f>
        <v>0</v>
      </c>
      <c r="K38" s="138"/>
      <c r="L38" s="139"/>
      <c r="M38" s="137">
        <f>(COUNTIF(M23:M37, "X"))/((COUNTA($C$23:$C$37))-(COUNTA(O23:O37)))</f>
        <v>0</v>
      </c>
      <c r="N38" s="138"/>
      <c r="O38" s="139"/>
      <c r="P38" s="137">
        <f>(COUNTIF(P23:P37, "X"))/((COUNTA($C$23:$C$37))-(COUNTA(R23:R37)))</f>
        <v>0</v>
      </c>
      <c r="Q38" s="138"/>
      <c r="R38" s="139"/>
      <c r="S38" s="137">
        <f>(COUNTIF(S23:S37, "X"))/((COUNTA($C$23:$C$37))-(COUNTA(U23:U37)))</f>
        <v>0</v>
      </c>
      <c r="T38" s="138"/>
      <c r="U38" s="139"/>
    </row>
    <row r="39" spans="2:21" ht="14.4" customHeight="1">
      <c r="B39" s="103" t="s">
        <v>188</v>
      </c>
      <c r="C39" s="103" t="s">
        <v>93</v>
      </c>
      <c r="D39" s="80">
        <v>46097</v>
      </c>
      <c r="E39" s="28"/>
      <c r="F39" s="27"/>
      <c r="G39" s="80"/>
      <c r="H39" s="28"/>
      <c r="I39" s="27"/>
      <c r="J39" s="25"/>
      <c r="K39" s="28"/>
      <c r="L39" s="27"/>
      <c r="M39" s="25"/>
      <c r="N39" s="28"/>
      <c r="O39" s="27"/>
      <c r="P39" s="25"/>
      <c r="Q39" s="28"/>
      <c r="R39" s="27"/>
      <c r="S39" s="25"/>
      <c r="T39" s="28"/>
      <c r="U39" s="27"/>
    </row>
    <row r="40" spans="2:21" ht="15.6">
      <c r="B40" s="11">
        <v>1</v>
      </c>
      <c r="C40" s="73" t="s">
        <v>234</v>
      </c>
      <c r="D40" s="11" t="s">
        <v>72</v>
      </c>
      <c r="E40" s="2"/>
      <c r="F40" s="12"/>
      <c r="G40" s="11"/>
      <c r="H40" s="2"/>
      <c r="I40" s="12"/>
      <c r="J40" s="11"/>
      <c r="K40" s="2"/>
      <c r="L40" s="12"/>
      <c r="M40" s="11"/>
      <c r="N40" s="2"/>
      <c r="O40" s="12"/>
      <c r="P40" s="11"/>
      <c r="Q40" s="2"/>
      <c r="R40" s="12"/>
      <c r="S40" s="11"/>
      <c r="T40" s="2"/>
      <c r="U40" s="12"/>
    </row>
    <row r="41" spans="2:21" ht="15.6">
      <c r="B41" s="11">
        <v>2</v>
      </c>
      <c r="C41" s="72" t="s">
        <v>90</v>
      </c>
      <c r="D41" s="2" t="s">
        <v>72</v>
      </c>
      <c r="E41" s="12"/>
      <c r="F41" s="12"/>
      <c r="G41" s="11"/>
      <c r="H41" s="2"/>
      <c r="I41" s="12"/>
      <c r="J41" s="2"/>
      <c r="K41" s="12"/>
      <c r="L41" s="12"/>
      <c r="M41" s="11"/>
      <c r="N41" s="2"/>
      <c r="O41" s="12"/>
      <c r="P41" s="11"/>
      <c r="Q41" s="2"/>
      <c r="R41" s="12"/>
      <c r="S41" s="11"/>
      <c r="T41" s="2"/>
      <c r="U41" s="12"/>
    </row>
    <row r="42" spans="2:21" ht="15.6">
      <c r="B42" s="11">
        <v>3</v>
      </c>
      <c r="C42" s="72" t="s">
        <v>91</v>
      </c>
      <c r="D42" s="2"/>
      <c r="E42" s="12" t="s">
        <v>72</v>
      </c>
      <c r="F42" s="12"/>
      <c r="G42" s="11"/>
      <c r="H42" s="2"/>
      <c r="I42" s="12"/>
      <c r="J42" s="2"/>
      <c r="K42" s="12"/>
      <c r="L42" s="12"/>
      <c r="M42" s="11"/>
      <c r="N42" s="2"/>
      <c r="O42" s="12"/>
      <c r="P42" s="11"/>
      <c r="Q42" s="2"/>
      <c r="R42" s="12"/>
      <c r="S42" s="11"/>
      <c r="T42" s="2"/>
      <c r="U42" s="12"/>
    </row>
    <row r="43" spans="2:21" ht="15.6">
      <c r="B43" s="11">
        <v>4</v>
      </c>
      <c r="C43" s="72" t="s">
        <v>109</v>
      </c>
      <c r="D43" s="2"/>
      <c r="E43" s="12"/>
      <c r="F43" s="12" t="s">
        <v>72</v>
      </c>
      <c r="G43" s="11"/>
      <c r="H43" s="2"/>
      <c r="I43" s="12"/>
      <c r="J43" s="2"/>
      <c r="K43" s="12"/>
      <c r="L43" s="12"/>
      <c r="M43" s="11"/>
      <c r="N43" s="2"/>
      <c r="O43" s="12"/>
      <c r="P43" s="11"/>
      <c r="Q43" s="2"/>
      <c r="R43" s="12"/>
      <c r="S43" s="11"/>
      <c r="T43" s="2"/>
      <c r="U43" s="12"/>
    </row>
    <row r="44" spans="2:21" ht="15.6">
      <c r="B44" s="11">
        <v>5</v>
      </c>
      <c r="C44" s="72" t="s">
        <v>92</v>
      </c>
      <c r="D44" s="2"/>
      <c r="E44" s="12"/>
      <c r="F44" s="12" t="s">
        <v>72</v>
      </c>
      <c r="G44" s="11"/>
      <c r="H44" s="2"/>
      <c r="I44" s="12"/>
      <c r="J44" s="2"/>
      <c r="K44" s="12"/>
      <c r="L44" s="12"/>
      <c r="M44" s="11"/>
      <c r="N44" s="2"/>
      <c r="O44" s="12"/>
      <c r="P44" s="11"/>
      <c r="Q44" s="2"/>
      <c r="R44" s="12"/>
      <c r="S44" s="11"/>
      <c r="T44" s="2"/>
      <c r="U44" s="12"/>
    </row>
    <row r="45" spans="2:21" ht="15.6">
      <c r="B45" s="11">
        <v>6</v>
      </c>
      <c r="C45" s="72" t="s">
        <v>114</v>
      </c>
      <c r="D45" s="23"/>
      <c r="E45" s="24" t="s">
        <v>72</v>
      </c>
      <c r="F45" s="24"/>
      <c r="G45" s="22"/>
      <c r="H45" s="23"/>
      <c r="I45" s="24"/>
      <c r="J45" s="23"/>
      <c r="K45" s="24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7</v>
      </c>
      <c r="C46" s="72" t="s">
        <v>180</v>
      </c>
      <c r="D46" s="23" t="s">
        <v>72</v>
      </c>
      <c r="E46" s="24"/>
      <c r="F46" s="24"/>
      <c r="G46" s="22"/>
      <c r="H46" s="23"/>
      <c r="I46" s="24"/>
      <c r="J46" s="23"/>
      <c r="K46" s="24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8</v>
      </c>
      <c r="C47" s="72" t="s">
        <v>110</v>
      </c>
      <c r="D47" s="23"/>
      <c r="E47" s="24" t="s">
        <v>72</v>
      </c>
      <c r="F47" s="24"/>
      <c r="G47" s="104"/>
      <c r="H47" s="23"/>
      <c r="I47" s="24"/>
      <c r="J47" s="23"/>
      <c r="K47" s="24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5.6">
      <c r="B48" s="11">
        <v>9</v>
      </c>
      <c r="C48" s="72" t="s">
        <v>112</v>
      </c>
      <c r="D48" s="23" t="s">
        <v>72</v>
      </c>
      <c r="E48" s="24"/>
      <c r="F48" s="24"/>
      <c r="G48" s="22"/>
      <c r="H48" s="23"/>
      <c r="I48" s="24"/>
      <c r="J48" s="23"/>
      <c r="K48" s="24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.6">
      <c r="B49" s="11">
        <v>10</v>
      </c>
      <c r="C49" s="72" t="s">
        <v>115</v>
      </c>
      <c r="D49" s="23" t="s">
        <v>72</v>
      </c>
      <c r="E49" s="24"/>
      <c r="F49" s="24"/>
      <c r="G49" s="22"/>
      <c r="H49" s="23"/>
      <c r="I49" s="24"/>
      <c r="J49" s="23"/>
      <c r="K49" s="24"/>
      <c r="L49" s="24"/>
      <c r="M49" s="22"/>
      <c r="N49" s="23"/>
      <c r="O49" s="24"/>
      <c r="P49" s="22"/>
      <c r="Q49" s="23"/>
      <c r="R49" s="24"/>
      <c r="S49" s="22"/>
      <c r="T49" s="23"/>
      <c r="U49" s="24"/>
    </row>
    <row r="50" spans="2:21" ht="15.6">
      <c r="B50" s="11">
        <v>11</v>
      </c>
      <c r="C50" s="72" t="s">
        <v>113</v>
      </c>
      <c r="D50" s="23" t="s">
        <v>72</v>
      </c>
      <c r="E50" s="24"/>
      <c r="F50" s="24"/>
      <c r="G50" s="22"/>
      <c r="H50" s="23"/>
      <c r="I50" s="24"/>
      <c r="J50" s="23"/>
      <c r="K50" s="24"/>
      <c r="L50" s="24"/>
      <c r="M50" s="22"/>
      <c r="N50" s="23"/>
      <c r="O50" s="24"/>
      <c r="P50" s="22"/>
      <c r="Q50" s="23"/>
      <c r="R50" s="24"/>
      <c r="S50" s="22"/>
      <c r="T50" s="23"/>
      <c r="U50" s="24"/>
    </row>
    <row r="51" spans="2:21" ht="15.6">
      <c r="B51" s="11">
        <v>12</v>
      </c>
      <c r="C51" s="72" t="s">
        <v>142</v>
      </c>
      <c r="D51" s="23" t="s">
        <v>72</v>
      </c>
      <c r="E51" s="24"/>
      <c r="F51" s="24"/>
      <c r="G51" s="22"/>
      <c r="H51" s="23"/>
      <c r="I51" s="24"/>
      <c r="J51" s="23"/>
      <c r="K51" s="24"/>
      <c r="L51" s="24"/>
      <c r="M51" s="22"/>
      <c r="N51" s="23"/>
      <c r="O51" s="24"/>
      <c r="P51" s="22"/>
      <c r="Q51" s="23"/>
      <c r="R51" s="24"/>
      <c r="S51" s="22"/>
      <c r="T51" s="23"/>
      <c r="U51" s="24"/>
    </row>
    <row r="52" spans="2:21" ht="15.6">
      <c r="B52" s="11">
        <v>13</v>
      </c>
      <c r="C52" s="72" t="s">
        <v>197</v>
      </c>
      <c r="D52" s="23" t="s">
        <v>72</v>
      </c>
      <c r="E52" s="24"/>
      <c r="F52" s="24"/>
      <c r="G52" s="22"/>
      <c r="H52" s="23"/>
      <c r="I52" s="24"/>
      <c r="J52" s="23"/>
      <c r="K52" s="24"/>
      <c r="L52" s="24"/>
      <c r="M52" s="22"/>
      <c r="N52" s="23"/>
      <c r="O52" s="24"/>
      <c r="P52" s="22"/>
      <c r="Q52" s="23"/>
      <c r="R52" s="24"/>
      <c r="S52" s="22"/>
      <c r="T52" s="23"/>
      <c r="U52" s="24"/>
    </row>
    <row r="53" spans="2:21" ht="15.6">
      <c r="B53" s="11">
        <v>14</v>
      </c>
      <c r="C53" s="72" t="s">
        <v>209</v>
      </c>
      <c r="D53" s="23" t="s">
        <v>72</v>
      </c>
      <c r="E53" s="24"/>
      <c r="F53" s="24"/>
      <c r="G53" s="22"/>
      <c r="H53" s="23"/>
      <c r="I53" s="24"/>
      <c r="J53" s="23"/>
      <c r="K53" s="24"/>
      <c r="L53" s="24"/>
      <c r="M53" s="22"/>
      <c r="N53" s="23"/>
      <c r="O53" s="24"/>
      <c r="P53" s="22"/>
      <c r="Q53" s="23"/>
      <c r="R53" s="24"/>
      <c r="S53" s="22"/>
      <c r="T53" s="23"/>
      <c r="U53" s="24"/>
    </row>
    <row r="54" spans="2:21" ht="15.6">
      <c r="B54" s="11">
        <v>15</v>
      </c>
      <c r="C54" s="72" t="s">
        <v>198</v>
      </c>
      <c r="D54" s="23"/>
      <c r="E54" s="24"/>
      <c r="F54" s="24" t="s">
        <v>72</v>
      </c>
      <c r="G54" s="22"/>
      <c r="H54" s="23"/>
      <c r="I54" s="24"/>
      <c r="J54" s="23"/>
      <c r="K54" s="24"/>
      <c r="L54" s="24"/>
      <c r="M54" s="22"/>
      <c r="N54" s="23"/>
      <c r="O54" s="24"/>
      <c r="P54" s="22"/>
      <c r="Q54" s="23"/>
      <c r="R54" s="24"/>
      <c r="S54" s="22"/>
      <c r="T54" s="23"/>
      <c r="U54" s="24"/>
    </row>
    <row r="55" spans="2:21" ht="16.2" thickBot="1">
      <c r="B55" s="11">
        <v>16</v>
      </c>
      <c r="C55" s="72" t="s">
        <v>173</v>
      </c>
      <c r="D55" s="23" t="s">
        <v>72</v>
      </c>
      <c r="E55" s="24"/>
      <c r="F55" s="24"/>
      <c r="G55" s="22"/>
      <c r="H55" s="23"/>
      <c r="I55" s="24"/>
      <c r="J55" s="23"/>
      <c r="K55" s="24"/>
      <c r="L55" s="24"/>
      <c r="M55" s="22"/>
      <c r="N55" s="23"/>
      <c r="O55" s="24"/>
      <c r="P55" s="22"/>
      <c r="Q55" s="23"/>
      <c r="R55" s="24"/>
      <c r="S55" s="22"/>
      <c r="T55" s="23"/>
      <c r="U55" s="24"/>
    </row>
    <row r="56" spans="2:21" ht="15" customHeight="1" thickBot="1">
      <c r="B56" s="102"/>
      <c r="C56" s="102" t="s">
        <v>14</v>
      </c>
      <c r="D56" s="99">
        <f>(COUNTIF(D40:D55, "X"))/((COUNTA($C$40:$C$55))-(COUNTA(F40:F55)))</f>
        <v>0.76923076923076927</v>
      </c>
      <c r="E56" s="100"/>
      <c r="F56" s="101"/>
      <c r="G56" s="99">
        <f>(COUNTIF(G40:G55, "X"))/((COUNTA($C$40:$C$55))-(COUNTA(I40:I55)))</f>
        <v>0</v>
      </c>
      <c r="H56" s="100"/>
      <c r="I56" s="101"/>
      <c r="J56" s="137">
        <f>(COUNTIF(J40:J55, "X"))/((COUNTA($C$40:$C$55))-(COUNTA(L40:L55)))</f>
        <v>0</v>
      </c>
      <c r="K56" s="138"/>
      <c r="L56" s="139"/>
      <c r="M56" s="137">
        <f>(COUNTIF(M40:M55, "X"))/((COUNTA($C$40:$C$55))-(COUNTA(O40:O55)))</f>
        <v>0</v>
      </c>
      <c r="N56" s="138"/>
      <c r="O56" s="139"/>
      <c r="P56" s="137">
        <f>(COUNTIF(P40:P55, "X"))/((COUNTA($C$40:$C$55))-(COUNTA(R40:R55)))</f>
        <v>0</v>
      </c>
      <c r="Q56" s="138"/>
      <c r="R56" s="139"/>
      <c r="S56" s="137">
        <f>(COUNTIF(S40:S55, "X"))/((COUNTA($C$40:$C$55))-(COUNTA(U40:U55)))</f>
        <v>0</v>
      </c>
      <c r="T56" s="138"/>
      <c r="U56" s="139"/>
    </row>
    <row r="57" spans="2:21">
      <c r="B57" s="147" t="s">
        <v>95</v>
      </c>
      <c r="C57" s="148"/>
      <c r="D57" s="25"/>
      <c r="E57" s="28"/>
      <c r="F57" s="27"/>
      <c r="G57" s="25"/>
      <c r="H57" s="28"/>
      <c r="I57" s="27"/>
      <c r="J57" s="25"/>
      <c r="K57" s="28"/>
      <c r="L57" s="27"/>
      <c r="M57" s="25"/>
      <c r="N57" s="28"/>
      <c r="O57" s="27"/>
      <c r="P57" s="25"/>
      <c r="Q57" s="28"/>
      <c r="R57" s="27"/>
      <c r="S57" s="25"/>
      <c r="T57" s="28"/>
      <c r="U57" s="27"/>
    </row>
    <row r="58" spans="2:21" ht="15.6">
      <c r="B58" s="11">
        <v>1</v>
      </c>
      <c r="C58" s="72" t="s">
        <v>199</v>
      </c>
      <c r="D58" s="11"/>
      <c r="E58" s="2"/>
      <c r="F58" s="12"/>
      <c r="G58" s="11"/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2</v>
      </c>
      <c r="C59" s="72" t="s">
        <v>200</v>
      </c>
      <c r="D59" s="11"/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3</v>
      </c>
      <c r="C60" s="72" t="s">
        <v>94</v>
      </c>
      <c r="D60" s="11"/>
      <c r="E60" s="2"/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 ht="15.6">
      <c r="B61" s="11">
        <v>4</v>
      </c>
      <c r="C61" s="72" t="s">
        <v>201</v>
      </c>
      <c r="D61" s="11"/>
      <c r="E61" s="2"/>
      <c r="F61" s="12"/>
      <c r="G61" s="11"/>
      <c r="H61" s="2"/>
      <c r="I61" s="12"/>
      <c r="J61" s="11"/>
      <c r="K61" s="2"/>
      <c r="L61" s="12"/>
      <c r="M61" s="11"/>
      <c r="N61" s="2"/>
      <c r="O61" s="12"/>
      <c r="P61" s="11"/>
      <c r="Q61" s="2"/>
      <c r="R61" s="12"/>
      <c r="S61" s="11"/>
      <c r="T61" s="2"/>
      <c r="U61" s="12"/>
    </row>
    <row r="62" spans="2:21">
      <c r="B62" s="142" t="s">
        <v>14</v>
      </c>
      <c r="C62" s="143"/>
      <c r="D62" s="144">
        <f>(COUNTIF(D58:D61, "X"))/((COUNTA($C$58:$C$61))-(COUNTA(F58:F61)))</f>
        <v>0</v>
      </c>
      <c r="E62" s="145"/>
      <c r="F62" s="146"/>
      <c r="G62" s="144">
        <f>(COUNTIF(G58:G61, "X"))/((COUNTA($C$58:$C$61))-(COUNTA(I58:I61)))</f>
        <v>0</v>
      </c>
      <c r="H62" s="145"/>
      <c r="I62" s="146"/>
      <c r="J62" s="144">
        <f>(COUNTIF(J58:J61, "X"))/((COUNTA($C$58:$C$61))-(COUNTA(L58:L61)))</f>
        <v>0</v>
      </c>
      <c r="K62" s="145"/>
      <c r="L62" s="146"/>
      <c r="M62" s="144">
        <f>(COUNTIF(M58:M61, "X"))/((COUNTA($C$58:$C$61))-(COUNTA(O58:O61)))</f>
        <v>0</v>
      </c>
      <c r="N62" s="145"/>
      <c r="O62" s="146"/>
      <c r="P62" s="144">
        <f>(COUNTIF(P58:P61, "X"))/((COUNTA($C$58:$C$61))-(COUNTA(R58:R61)))</f>
        <v>0</v>
      </c>
      <c r="Q62" s="145"/>
      <c r="R62" s="146"/>
      <c r="S62" s="144">
        <f>(COUNTIF(S58:S61, "X"))/((COUNTA($C$58:$C$61))-(COUNTA(U58:U61)))</f>
        <v>0</v>
      </c>
      <c r="T62" s="145"/>
      <c r="U62" s="146"/>
    </row>
    <row r="63" spans="2:21">
      <c r="B63" s="147" t="s">
        <v>120</v>
      </c>
      <c r="C63" s="148"/>
      <c r="D63" s="78">
        <v>46060</v>
      </c>
      <c r="E63" s="5"/>
      <c r="F63" s="17"/>
      <c r="G63" s="78"/>
      <c r="H63" s="5"/>
      <c r="I63" s="17"/>
      <c r="J63" s="16"/>
      <c r="K63" s="5"/>
      <c r="L63" s="17"/>
      <c r="M63" s="16"/>
      <c r="N63" s="5"/>
      <c r="O63" s="17"/>
      <c r="P63" s="16"/>
      <c r="Q63" s="5"/>
      <c r="R63" s="17"/>
      <c r="S63" s="16"/>
      <c r="T63" s="5"/>
      <c r="U63" s="17"/>
    </row>
    <row r="64" spans="2:21" ht="15.6">
      <c r="B64" s="11">
        <v>1</v>
      </c>
      <c r="C64" s="72" t="s">
        <v>202</v>
      </c>
      <c r="D64" s="11" t="s">
        <v>72</v>
      </c>
      <c r="E64" s="2"/>
      <c r="F64" s="12"/>
      <c r="G64" s="11"/>
      <c r="H64" s="2" t="s">
        <v>72</v>
      </c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2</v>
      </c>
      <c r="C65" s="72" t="s">
        <v>124</v>
      </c>
      <c r="D65" s="11" t="s">
        <v>72</v>
      </c>
      <c r="E65" s="2"/>
      <c r="F65" s="12"/>
      <c r="G65" s="11" t="s">
        <v>72</v>
      </c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3</v>
      </c>
      <c r="C66" s="72" t="s">
        <v>121</v>
      </c>
      <c r="D66" s="11" t="s">
        <v>72</v>
      </c>
      <c r="E66" s="2"/>
      <c r="F66" s="12"/>
      <c r="G66" s="11" t="s">
        <v>72</v>
      </c>
      <c r="H66" s="2"/>
      <c r="I66" s="12"/>
      <c r="J66" s="11"/>
      <c r="K66" s="2"/>
      <c r="L66" s="12"/>
      <c r="M66" s="11"/>
      <c r="N66" s="2"/>
      <c r="O66" s="12"/>
      <c r="P66" s="11"/>
      <c r="Q66" s="2"/>
      <c r="R66" s="12"/>
      <c r="S66" s="11"/>
      <c r="T66" s="2"/>
      <c r="U66" s="12"/>
    </row>
    <row r="67" spans="2:21" ht="15.6">
      <c r="B67" s="11">
        <v>4</v>
      </c>
      <c r="C67" s="74" t="s">
        <v>122</v>
      </c>
      <c r="D67" s="22" t="s">
        <v>72</v>
      </c>
      <c r="E67" s="23"/>
      <c r="F67" s="24"/>
      <c r="G67" s="22" t="s">
        <v>72</v>
      </c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5</v>
      </c>
      <c r="C68" s="74" t="s">
        <v>116</v>
      </c>
      <c r="D68" s="22" t="s">
        <v>72</v>
      </c>
      <c r="E68" s="23"/>
      <c r="F68" s="24"/>
      <c r="G68" s="22" t="s">
        <v>72</v>
      </c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6</v>
      </c>
      <c r="C69" s="74" t="s">
        <v>203</v>
      </c>
      <c r="D69" s="22" t="s">
        <v>72</v>
      </c>
      <c r="E69" s="23"/>
      <c r="F69" s="24"/>
      <c r="G69" s="22" t="s">
        <v>72</v>
      </c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7</v>
      </c>
      <c r="C70" s="74" t="s">
        <v>117</v>
      </c>
      <c r="D70" s="22" t="s">
        <v>72</v>
      </c>
      <c r="E70" s="23"/>
      <c r="F70" s="24"/>
      <c r="G70" s="22" t="s">
        <v>72</v>
      </c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8</v>
      </c>
      <c r="C71" s="74" t="s">
        <v>123</v>
      </c>
      <c r="D71" s="22" t="s">
        <v>72</v>
      </c>
      <c r="E71" s="23"/>
      <c r="F71" s="24"/>
      <c r="G71" s="22" t="s">
        <v>72</v>
      </c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9</v>
      </c>
      <c r="C72" s="74" t="s">
        <v>210</v>
      </c>
      <c r="D72" s="22" t="s">
        <v>72</v>
      </c>
      <c r="E72" s="23"/>
      <c r="F72" s="24"/>
      <c r="G72" s="22" t="s">
        <v>72</v>
      </c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10</v>
      </c>
      <c r="C73" s="77" t="s">
        <v>184</v>
      </c>
      <c r="D73" s="22" t="s">
        <v>72</v>
      </c>
      <c r="E73" s="23"/>
      <c r="F73" s="24"/>
      <c r="G73" s="22" t="s">
        <v>72</v>
      </c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192</v>
      </c>
      <c r="D74" s="22"/>
      <c r="E74" s="23" t="s">
        <v>72</v>
      </c>
      <c r="F74" s="24"/>
      <c r="G74" s="22"/>
      <c r="H74" s="23" t="s">
        <v>72</v>
      </c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5.6">
      <c r="B75" s="11">
        <v>13</v>
      </c>
      <c r="C75" s="77" t="s">
        <v>145</v>
      </c>
      <c r="D75" s="22" t="s">
        <v>72</v>
      </c>
      <c r="E75" s="23"/>
      <c r="F75" s="24"/>
      <c r="G75" s="22" t="s">
        <v>72</v>
      </c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 ht="16.2" thickBot="1">
      <c r="B76" s="11">
        <v>14</v>
      </c>
      <c r="C76" s="72" t="s">
        <v>170</v>
      </c>
      <c r="D76" s="82" t="s">
        <v>72</v>
      </c>
      <c r="E76" s="23"/>
      <c r="F76" s="24"/>
      <c r="G76" s="22" t="s">
        <v>72</v>
      </c>
      <c r="H76" s="23"/>
      <c r="I76" s="24"/>
      <c r="J76" s="22"/>
      <c r="K76" s="23"/>
      <c r="L76" s="24"/>
      <c r="M76" s="22"/>
      <c r="N76" s="23"/>
      <c r="O76" s="24"/>
      <c r="P76" s="22"/>
      <c r="Q76" s="23"/>
      <c r="R76" s="24"/>
      <c r="S76" s="22"/>
      <c r="T76" s="23"/>
      <c r="U76" s="24"/>
    </row>
    <row r="77" spans="2:21">
      <c r="B77" s="142" t="s">
        <v>14</v>
      </c>
      <c r="C77" s="143"/>
      <c r="D77" s="149">
        <f>(COUNTIF(D64:D76, "X"))/((COUNTA($C$64:$C$76))-(COUNTA(F64:F76)))</f>
        <v>0.92307692307692313</v>
      </c>
      <c r="E77" s="150"/>
      <c r="F77" s="151"/>
      <c r="G77" s="149">
        <f>(COUNTIF(G64:G76, "X"))/((COUNTA($C$64:$C$76))-(COUNTA(I64:I76)))</f>
        <v>0.84615384615384615</v>
      </c>
      <c r="H77" s="150"/>
      <c r="I77" s="151"/>
      <c r="J77" s="149">
        <f>(COUNTIF(J64:J76, "X"))/((COUNTA($C$64:$C$76))-(COUNTA(L64:L76)))</f>
        <v>0</v>
      </c>
      <c r="K77" s="150"/>
      <c r="L77" s="151"/>
      <c r="M77" s="149">
        <f>(COUNTIF(M64:M76, "X"))/((COUNTA($C$64:$C$72))-(COUNTA(O64:O76)))</f>
        <v>0</v>
      </c>
      <c r="N77" s="150"/>
      <c r="O77" s="151"/>
      <c r="P77" s="149">
        <f>(COUNTIF(P64:P76, "X"))/((COUNTA($C$64:$C$72))-(COUNTA(R64:R76)))</f>
        <v>0</v>
      </c>
      <c r="Q77" s="150"/>
      <c r="R77" s="151"/>
      <c r="S77" s="149">
        <f>(COUNTIF(S64:S76, "X"))/((COUNTA($C$64:$C$72))-(COUNTA(U64:U76)))</f>
        <v>0</v>
      </c>
      <c r="T77" s="150"/>
      <c r="U77" s="151"/>
    </row>
    <row r="78" spans="2:21" ht="15" thickBot="1">
      <c r="B78" s="147" t="s">
        <v>99</v>
      </c>
      <c r="C78" s="148"/>
      <c r="D78" s="32"/>
      <c r="E78" s="33"/>
      <c r="F78" s="34"/>
      <c r="G78" s="32"/>
      <c r="H78" s="33"/>
      <c r="I78" s="34"/>
      <c r="J78" s="32"/>
      <c r="K78" s="33"/>
      <c r="L78" s="34"/>
      <c r="M78" s="32"/>
      <c r="N78" s="33"/>
      <c r="O78" s="34"/>
      <c r="P78" s="32"/>
      <c r="Q78" s="33"/>
      <c r="R78" s="34"/>
      <c r="S78" s="32"/>
      <c r="T78" s="33"/>
      <c r="U78" s="34"/>
    </row>
    <row r="79" spans="2:21" ht="15.6">
      <c r="B79" s="11">
        <v>1</v>
      </c>
      <c r="C79" s="72" t="s">
        <v>97</v>
      </c>
      <c r="D79" s="29"/>
      <c r="E79" s="30"/>
      <c r="F79" s="31"/>
      <c r="G79" s="29"/>
      <c r="H79" s="30"/>
      <c r="I79" s="31"/>
      <c r="J79" s="29"/>
      <c r="K79" s="30"/>
      <c r="L79" s="31"/>
      <c r="M79" s="29"/>
      <c r="N79" s="30"/>
      <c r="O79" s="31"/>
      <c r="P79" s="29"/>
      <c r="Q79" s="30"/>
      <c r="R79" s="31"/>
      <c r="S79" s="29"/>
      <c r="T79" s="30"/>
      <c r="U79" s="31"/>
    </row>
    <row r="80" spans="2:21" ht="15.6">
      <c r="B80" s="11">
        <v>2</v>
      </c>
      <c r="C80" s="72" t="s">
        <v>211</v>
      </c>
      <c r="D80" s="11"/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3</v>
      </c>
      <c r="C81" s="72" t="s">
        <v>98</v>
      </c>
      <c r="D81" s="11"/>
      <c r="E81" s="2"/>
      <c r="F81" s="12"/>
      <c r="G81" s="11"/>
      <c r="H81" s="2"/>
      <c r="I81" s="12"/>
      <c r="J81" s="11"/>
      <c r="K81" s="2"/>
      <c r="L81" s="12"/>
      <c r="M81" s="11"/>
      <c r="N81" s="2"/>
      <c r="O81" s="12"/>
      <c r="P81" s="11"/>
      <c r="Q81" s="2"/>
      <c r="R81" s="12"/>
      <c r="S81" s="11"/>
      <c r="T81" s="2"/>
      <c r="U81" s="12"/>
    </row>
    <row r="82" spans="2:21" ht="16.2" thickBot="1">
      <c r="B82" s="11">
        <v>4</v>
      </c>
      <c r="C82" s="74" t="s">
        <v>170</v>
      </c>
      <c r="D82" s="22"/>
      <c r="E82" s="23"/>
      <c r="F82" s="24"/>
      <c r="G82" s="22"/>
      <c r="H82" s="23"/>
      <c r="I82" s="24"/>
      <c r="J82" s="22"/>
      <c r="K82" s="23"/>
      <c r="L82" s="24"/>
      <c r="M82" s="22"/>
      <c r="N82" s="23"/>
      <c r="O82" s="24"/>
      <c r="P82" s="22"/>
      <c r="Q82" s="23"/>
      <c r="R82" s="24"/>
      <c r="S82" s="22"/>
      <c r="T82" s="23"/>
      <c r="U82" s="24"/>
    </row>
    <row r="83" spans="2:21" ht="15" thickBot="1">
      <c r="B83" s="152" t="s">
        <v>14</v>
      </c>
      <c r="C83" s="153"/>
      <c r="D83" s="137">
        <f>(COUNTIF(D79:D82, "X"))/((COUNTA($C$79:$C$82))-(COUNTA(F79:F82)))</f>
        <v>0</v>
      </c>
      <c r="E83" s="138"/>
      <c r="F83" s="139"/>
      <c r="G83" s="137">
        <f>(COUNTIF(G79:G82, "X"))/((COUNTA($C$79:$C$82))-(COUNTA(I79:I82)))</f>
        <v>0</v>
      </c>
      <c r="H83" s="138"/>
      <c r="I83" s="139"/>
      <c r="J83" s="137">
        <f>(COUNTIF(J79:J82, "X"))/((COUNTA($C$79:$C$82))-(COUNTA(L79:L82)))</f>
        <v>0</v>
      </c>
      <c r="K83" s="138"/>
      <c r="L83" s="139"/>
      <c r="M83" s="137">
        <f>(COUNTIF(M79:M82, "X"))/((COUNTA($C$79:$C$82))-(COUNTA(O79:O82)))</f>
        <v>0</v>
      </c>
      <c r="N83" s="138"/>
      <c r="O83" s="139"/>
      <c r="P83" s="137">
        <f>(COUNTIF(P79:P82, "X"))/((COUNTA($C$79:$C$82))-(COUNTA(R79:R82)))</f>
        <v>0</v>
      </c>
      <c r="Q83" s="138"/>
      <c r="R83" s="139"/>
      <c r="S83" s="137">
        <f>(COUNTIF(S79:S82, "X"))/((COUNTA($C$79:$C$82))-(COUNTA(U79:U82)))</f>
        <v>0</v>
      </c>
      <c r="T83" s="138"/>
      <c r="U83" s="139"/>
    </row>
    <row r="84" spans="2:21" ht="14.4" customHeight="1">
      <c r="B84" s="97" t="s">
        <v>188</v>
      </c>
      <c r="C84" s="97" t="s">
        <v>103</v>
      </c>
      <c r="D84" s="80">
        <v>46101</v>
      </c>
      <c r="E84" s="26"/>
      <c r="F84" s="27"/>
      <c r="G84" s="80">
        <v>46107</v>
      </c>
      <c r="H84" s="26"/>
      <c r="I84" s="27"/>
      <c r="J84" s="80"/>
      <c r="K84" s="26"/>
      <c r="L84" s="27"/>
      <c r="M84" s="25"/>
      <c r="N84" s="26"/>
      <c r="O84" s="27"/>
      <c r="P84" s="25"/>
      <c r="Q84" s="26"/>
      <c r="R84" s="27"/>
      <c r="S84" s="25"/>
      <c r="T84" s="26"/>
      <c r="U84" s="27"/>
    </row>
    <row r="85" spans="2:21" ht="15.6">
      <c r="B85" s="11">
        <v>1</v>
      </c>
      <c r="C85" s="72" t="s">
        <v>83</v>
      </c>
      <c r="D85" s="11" t="s">
        <v>72</v>
      </c>
      <c r="E85" s="2"/>
      <c r="F85" s="12"/>
      <c r="G85" s="11" t="s">
        <v>72</v>
      </c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2</v>
      </c>
      <c r="C86" s="72" t="s">
        <v>107</v>
      </c>
      <c r="D86" s="11" t="s">
        <v>72</v>
      </c>
      <c r="E86" s="2"/>
      <c r="F86" s="12"/>
      <c r="G86" s="11" t="s">
        <v>72</v>
      </c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3</v>
      </c>
      <c r="C87" s="72" t="s">
        <v>104</v>
      </c>
      <c r="D87" s="11" t="s">
        <v>72</v>
      </c>
      <c r="E87" s="2"/>
      <c r="F87" s="12"/>
      <c r="G87" s="11" t="s">
        <v>72</v>
      </c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4</v>
      </c>
      <c r="C88" s="72" t="s">
        <v>105</v>
      </c>
      <c r="D88" s="11" t="s">
        <v>72</v>
      </c>
      <c r="E88" s="2"/>
      <c r="F88" s="12"/>
      <c r="G88" s="11" t="s">
        <v>72</v>
      </c>
      <c r="H88" s="2"/>
      <c r="I88" s="12"/>
      <c r="J88" s="11"/>
      <c r="K88" s="2"/>
      <c r="L88" s="12"/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5</v>
      </c>
      <c r="C89" s="72" t="s">
        <v>194</v>
      </c>
      <c r="D89" s="11" t="s">
        <v>72</v>
      </c>
      <c r="E89" s="2"/>
      <c r="F89" s="12"/>
      <c r="G89" s="11" t="s">
        <v>72</v>
      </c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6</v>
      </c>
      <c r="C90" s="72" t="s">
        <v>212</v>
      </c>
      <c r="D90" s="11" t="s">
        <v>72</v>
      </c>
      <c r="E90" s="2"/>
      <c r="F90" s="12"/>
      <c r="G90" s="93" t="s">
        <v>72</v>
      </c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7</v>
      </c>
      <c r="C91" s="72" t="s">
        <v>106</v>
      </c>
      <c r="D91" s="11" t="s">
        <v>72</v>
      </c>
      <c r="E91" s="2"/>
      <c r="F91" s="12"/>
      <c r="G91" s="11" t="s">
        <v>72</v>
      </c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8</v>
      </c>
      <c r="C92" s="72" t="s">
        <v>161</v>
      </c>
      <c r="D92" s="11"/>
      <c r="E92" s="2" t="s">
        <v>72</v>
      </c>
      <c r="F92" s="12"/>
      <c r="G92" s="11" t="s">
        <v>72</v>
      </c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9</v>
      </c>
      <c r="C93" s="72" t="s">
        <v>88</v>
      </c>
      <c r="D93" s="11" t="s">
        <v>72</v>
      </c>
      <c r="E93" s="2"/>
      <c r="F93" s="12"/>
      <c r="G93" s="11" t="s">
        <v>72</v>
      </c>
      <c r="H93" s="2"/>
      <c r="I93" s="12"/>
      <c r="J93" s="11"/>
      <c r="K93" s="2"/>
      <c r="L93" s="12"/>
      <c r="M93" s="11"/>
      <c r="N93" s="2"/>
      <c r="O93" s="12"/>
      <c r="P93" s="11"/>
      <c r="Q93" s="2"/>
      <c r="R93" s="12"/>
      <c r="S93" s="11"/>
      <c r="T93" s="2"/>
      <c r="U93" s="12"/>
    </row>
    <row r="94" spans="2:21" ht="15.6">
      <c r="B94" s="11">
        <v>10</v>
      </c>
      <c r="C94" s="72" t="s">
        <v>150</v>
      </c>
      <c r="D94" s="11"/>
      <c r="E94" s="2" t="s">
        <v>72</v>
      </c>
      <c r="F94" s="12"/>
      <c r="G94" s="11"/>
      <c r="H94" s="2" t="s">
        <v>72</v>
      </c>
      <c r="I94" s="12"/>
      <c r="J94" s="11"/>
      <c r="K94" s="2"/>
      <c r="L94" s="12"/>
      <c r="M94" s="11"/>
      <c r="N94" s="2"/>
      <c r="O94" s="12"/>
      <c r="P94" s="11"/>
      <c r="Q94" s="2"/>
      <c r="R94" s="12"/>
      <c r="S94" s="11"/>
      <c r="T94" s="2"/>
      <c r="U94" s="12"/>
    </row>
    <row r="95" spans="2:21" ht="15.6">
      <c r="B95" s="11">
        <v>11</v>
      </c>
      <c r="C95" s="72" t="s">
        <v>195</v>
      </c>
      <c r="D95" s="11" t="s">
        <v>72</v>
      </c>
      <c r="E95" s="2"/>
      <c r="F95" s="12"/>
      <c r="G95" s="11" t="s">
        <v>72</v>
      </c>
      <c r="H95" s="2"/>
      <c r="I95" s="12"/>
      <c r="J95" s="11"/>
      <c r="K95" s="2"/>
      <c r="L95" s="12"/>
      <c r="M95" s="11"/>
      <c r="N95" s="2"/>
      <c r="O95" s="12"/>
      <c r="P95" s="11"/>
      <c r="Q95" s="2"/>
      <c r="R95" s="12"/>
      <c r="S95" s="11"/>
      <c r="T95" s="2"/>
      <c r="U95" s="12"/>
    </row>
    <row r="96" spans="2:21" ht="15.6">
      <c r="B96" s="11">
        <v>12</v>
      </c>
      <c r="C96" s="72" t="s">
        <v>192</v>
      </c>
      <c r="D96" s="11" t="s">
        <v>72</v>
      </c>
      <c r="E96" s="2"/>
      <c r="F96" s="12"/>
      <c r="G96" s="11"/>
      <c r="H96" s="2" t="s">
        <v>72</v>
      </c>
      <c r="I96" s="12"/>
      <c r="J96" s="11"/>
      <c r="K96" s="2"/>
      <c r="L96" s="12"/>
      <c r="M96" s="11"/>
      <c r="N96" s="2"/>
      <c r="O96" s="12"/>
      <c r="P96" s="11"/>
      <c r="Q96" s="2"/>
      <c r="R96" s="12"/>
      <c r="S96" s="11"/>
      <c r="T96" s="2"/>
      <c r="U96" s="12"/>
    </row>
    <row r="97" spans="2:21" ht="15.6">
      <c r="B97" s="11">
        <v>13</v>
      </c>
      <c r="C97" s="72" t="s">
        <v>184</v>
      </c>
      <c r="D97" s="22" t="s">
        <v>72</v>
      </c>
      <c r="E97" s="23"/>
      <c r="F97" s="24"/>
      <c r="G97" s="22" t="s">
        <v>72</v>
      </c>
      <c r="H97" s="23"/>
      <c r="I97" s="24"/>
      <c r="J97" s="22"/>
      <c r="K97" s="23"/>
      <c r="L97" s="24"/>
      <c r="M97" s="22"/>
      <c r="N97" s="23"/>
      <c r="O97" s="24"/>
      <c r="P97" s="22"/>
      <c r="Q97" s="23"/>
      <c r="R97" s="24"/>
      <c r="S97" s="22"/>
      <c r="T97" s="23"/>
      <c r="U97" s="24"/>
    </row>
    <row r="98" spans="2:21" ht="15.6">
      <c r="B98" s="11">
        <v>14</v>
      </c>
      <c r="C98" s="72" t="s">
        <v>230</v>
      </c>
      <c r="D98" s="22" t="s">
        <v>72</v>
      </c>
      <c r="E98" s="23"/>
      <c r="F98" s="24"/>
      <c r="G98" s="22" t="s">
        <v>72</v>
      </c>
      <c r="H98" s="23"/>
      <c r="I98" s="24"/>
      <c r="J98" s="22"/>
      <c r="K98" s="23"/>
      <c r="L98" s="24"/>
      <c r="M98" s="22"/>
      <c r="N98" s="23"/>
      <c r="O98" s="24"/>
      <c r="P98" s="22"/>
      <c r="Q98" s="23"/>
      <c r="R98" s="24"/>
      <c r="S98" s="22"/>
      <c r="T98" s="23"/>
      <c r="U98" s="24"/>
    </row>
    <row r="99" spans="2:21" ht="15.6">
      <c r="B99" s="11">
        <v>15</v>
      </c>
      <c r="C99" s="72" t="s">
        <v>149</v>
      </c>
      <c r="D99" s="22"/>
      <c r="E99" s="23" t="s">
        <v>72</v>
      </c>
      <c r="F99" s="24"/>
      <c r="G99" s="22"/>
      <c r="H99" s="23" t="s">
        <v>72</v>
      </c>
      <c r="I99" s="24"/>
      <c r="J99" s="22"/>
      <c r="K99" s="23"/>
      <c r="L99" s="24"/>
      <c r="M99" s="22"/>
      <c r="N99" s="23"/>
      <c r="O99" s="24"/>
      <c r="P99" s="22"/>
      <c r="Q99" s="23"/>
      <c r="R99" s="24"/>
      <c r="S99" s="22"/>
      <c r="T99" s="23"/>
      <c r="U99" s="24"/>
    </row>
    <row r="100" spans="2:21" ht="16.2" thickBot="1">
      <c r="B100" s="11">
        <v>16</v>
      </c>
      <c r="C100" s="72" t="s">
        <v>170</v>
      </c>
      <c r="D100" s="22" t="s">
        <v>72</v>
      </c>
      <c r="E100" s="23"/>
      <c r="F100" s="24"/>
      <c r="G100" s="22" t="s">
        <v>72</v>
      </c>
      <c r="H100" s="23"/>
      <c r="I100" s="24"/>
      <c r="J100" s="22"/>
      <c r="K100" s="23"/>
      <c r="L100" s="24"/>
      <c r="M100" s="22"/>
      <c r="N100" s="23"/>
      <c r="O100" s="24"/>
      <c r="P100" s="22"/>
      <c r="Q100" s="23"/>
      <c r="R100" s="24"/>
      <c r="S100" s="22"/>
      <c r="T100" s="23"/>
      <c r="U100" s="24"/>
    </row>
    <row r="101" spans="2:21" ht="15" thickBot="1">
      <c r="B101" s="142" t="s">
        <v>14</v>
      </c>
      <c r="C101" s="143"/>
      <c r="D101" s="137">
        <f>(COUNTIF(D85:D100, "X"))/((COUNTA($C$85:$C$100))-(COUNTA(F85:F100)))</f>
        <v>0.8125</v>
      </c>
      <c r="E101" s="138"/>
      <c r="F101" s="139"/>
      <c r="G101" s="137">
        <f>(COUNTIF(G85:G100, "X"))/((COUNTA($C$85:$C$100))-(COUNTA(I85:I100)))</f>
        <v>0.8125</v>
      </c>
      <c r="H101" s="138"/>
      <c r="I101" s="139"/>
      <c r="J101" s="137">
        <f>(COUNTIF(J85:J100, "X"))/((COUNTA($C$85:$C$100))-(COUNTA(L85:L100)))</f>
        <v>0</v>
      </c>
      <c r="K101" s="138"/>
      <c r="L101" s="139"/>
      <c r="M101" s="137">
        <f>(COUNTIF(M85:M100, "X"))/((COUNTA($C$23:$C$37))-(COUNTA(O85:O100)))</f>
        <v>0</v>
      </c>
      <c r="N101" s="138"/>
      <c r="O101" s="139"/>
      <c r="P101" s="137">
        <f>(COUNTIF(P85:P100, "X"))/((COUNTA($C$23:$C$37))-(COUNTA(R85:R100)))</f>
        <v>0</v>
      </c>
      <c r="Q101" s="138"/>
      <c r="R101" s="139"/>
      <c r="S101" s="137">
        <f>(COUNTIF(S85:S100, "X"))/((COUNTA($C$23:$C$37))-(COUNTA(U85:U100)))</f>
        <v>0</v>
      </c>
      <c r="T101" s="138"/>
      <c r="U101" s="139"/>
    </row>
    <row r="102" spans="2:21" ht="14.4" customHeight="1">
      <c r="B102" s="94" t="s">
        <v>188</v>
      </c>
      <c r="C102" s="94" t="s">
        <v>231</v>
      </c>
      <c r="D102" s="78">
        <v>46090</v>
      </c>
      <c r="E102" s="5"/>
      <c r="F102" s="17"/>
      <c r="G102" s="78">
        <v>46104</v>
      </c>
      <c r="H102" s="5"/>
      <c r="I102" s="17"/>
      <c r="J102" s="16"/>
      <c r="K102" s="5"/>
      <c r="L102" s="17"/>
      <c r="M102" s="16"/>
      <c r="N102" s="5"/>
      <c r="O102" s="17"/>
      <c r="P102" s="16"/>
      <c r="Q102" s="5"/>
      <c r="R102" s="17"/>
      <c r="S102" s="16"/>
      <c r="T102" s="5"/>
      <c r="U102" s="17"/>
    </row>
    <row r="103" spans="2:21" ht="15.6">
      <c r="B103" s="11">
        <v>1</v>
      </c>
      <c r="C103" s="72" t="s">
        <v>205</v>
      </c>
      <c r="D103" s="11" t="s">
        <v>72</v>
      </c>
      <c r="E103" s="2"/>
      <c r="F103" s="12"/>
      <c r="G103" s="11" t="s">
        <v>72</v>
      </c>
      <c r="H103" s="2"/>
      <c r="I103" s="12"/>
      <c r="J103" s="11"/>
      <c r="K103" s="2"/>
      <c r="L103" s="12"/>
      <c r="M103" s="11"/>
      <c r="N103" s="2"/>
      <c r="O103" s="12"/>
      <c r="P103" s="11"/>
      <c r="Q103" s="2"/>
      <c r="R103" s="12"/>
      <c r="S103" s="11"/>
      <c r="T103" s="2"/>
      <c r="U103" s="12"/>
    </row>
    <row r="104" spans="2:21" ht="15.6">
      <c r="B104" s="11">
        <v>2</v>
      </c>
      <c r="C104" s="72" t="s">
        <v>206</v>
      </c>
      <c r="D104" s="11" t="s">
        <v>72</v>
      </c>
      <c r="E104" s="2"/>
      <c r="F104" s="12"/>
      <c r="G104" s="11" t="s">
        <v>72</v>
      </c>
      <c r="H104" s="2"/>
      <c r="I104" s="12"/>
      <c r="J104" s="11"/>
      <c r="K104" s="2"/>
      <c r="L104" s="12"/>
      <c r="M104" s="11"/>
      <c r="N104" s="2"/>
      <c r="O104" s="12"/>
      <c r="P104" s="11"/>
      <c r="Q104" s="2"/>
      <c r="R104" s="12"/>
      <c r="S104" s="11"/>
      <c r="T104" s="2"/>
      <c r="U104" s="12"/>
    </row>
    <row r="105" spans="2:21" ht="15.6">
      <c r="B105" s="11">
        <v>3</v>
      </c>
      <c r="C105" s="72" t="s">
        <v>96</v>
      </c>
      <c r="D105" s="11" t="s">
        <v>72</v>
      </c>
      <c r="E105" s="2"/>
      <c r="F105" s="12"/>
      <c r="G105" s="11" t="s">
        <v>72</v>
      </c>
      <c r="H105" s="2"/>
      <c r="I105" s="12"/>
      <c r="J105" s="11"/>
      <c r="K105" s="2"/>
      <c r="L105" s="12"/>
      <c r="M105" s="11"/>
      <c r="N105" s="2"/>
      <c r="O105" s="12"/>
      <c r="P105" s="11"/>
      <c r="Q105" s="2"/>
      <c r="R105" s="12"/>
      <c r="S105" s="11"/>
      <c r="T105" s="2"/>
      <c r="U105" s="12"/>
    </row>
    <row r="106" spans="2:21" ht="15.6">
      <c r="B106" s="11">
        <v>4</v>
      </c>
      <c r="C106" s="74" t="s">
        <v>226</v>
      </c>
      <c r="D106" s="22"/>
      <c r="E106" s="23" t="s">
        <v>72</v>
      </c>
      <c r="F106" s="24"/>
      <c r="G106" s="22" t="s">
        <v>72</v>
      </c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5.6">
      <c r="B107" s="11">
        <v>5</v>
      </c>
      <c r="C107" s="74" t="s">
        <v>227</v>
      </c>
      <c r="D107" s="22" t="s">
        <v>72</v>
      </c>
      <c r="E107" s="23"/>
      <c r="F107" s="24"/>
      <c r="G107" s="22" t="s">
        <v>72</v>
      </c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 ht="15.6">
      <c r="B108" s="11">
        <v>6</v>
      </c>
      <c r="C108" s="74" t="s">
        <v>125</v>
      </c>
      <c r="D108" s="22" t="s">
        <v>72</v>
      </c>
      <c r="E108" s="23"/>
      <c r="F108" s="24"/>
      <c r="G108" s="22" t="s">
        <v>72</v>
      </c>
      <c r="H108" s="23"/>
      <c r="I108" s="24"/>
      <c r="J108" s="22"/>
      <c r="K108" s="23"/>
      <c r="L108" s="24"/>
      <c r="M108" s="22"/>
      <c r="N108" s="23"/>
      <c r="O108" s="24"/>
      <c r="P108" s="22"/>
      <c r="Q108" s="23"/>
      <c r="R108" s="24"/>
      <c r="S108" s="22"/>
      <c r="T108" s="23"/>
      <c r="U108" s="24"/>
    </row>
    <row r="109" spans="2:21" ht="15.6">
      <c r="B109" s="11">
        <v>7</v>
      </c>
      <c r="C109" s="74" t="s">
        <v>119</v>
      </c>
      <c r="D109" s="22" t="s">
        <v>72</v>
      </c>
      <c r="E109" s="23"/>
      <c r="F109" s="24"/>
      <c r="G109" s="22" t="s">
        <v>72</v>
      </c>
      <c r="H109" s="23"/>
      <c r="I109" s="24"/>
      <c r="J109" s="22"/>
      <c r="K109" s="23"/>
      <c r="L109" s="24"/>
      <c r="M109" s="22"/>
      <c r="N109" s="23"/>
      <c r="O109" s="24"/>
      <c r="P109" s="22"/>
      <c r="Q109" s="23"/>
      <c r="R109" s="24"/>
      <c r="S109" s="22"/>
      <c r="T109" s="23"/>
      <c r="U109" s="24"/>
    </row>
    <row r="110" spans="2:21" ht="15.6">
      <c r="B110" s="11">
        <v>8</v>
      </c>
      <c r="C110" s="74" t="s">
        <v>224</v>
      </c>
      <c r="D110" s="22" t="s">
        <v>72</v>
      </c>
      <c r="E110" s="23"/>
      <c r="F110" s="24"/>
      <c r="G110" s="22" t="s">
        <v>72</v>
      </c>
      <c r="H110" s="23"/>
      <c r="I110" s="24"/>
      <c r="J110" s="22"/>
      <c r="K110" s="23"/>
      <c r="L110" s="24"/>
      <c r="M110" s="22"/>
      <c r="N110" s="23"/>
      <c r="O110" s="24"/>
      <c r="P110" s="22"/>
      <c r="Q110" s="23"/>
      <c r="R110" s="24"/>
      <c r="S110" s="22"/>
      <c r="T110" s="23"/>
      <c r="U110" s="24"/>
    </row>
    <row r="111" spans="2:21" ht="15.6">
      <c r="B111" s="11">
        <v>9</v>
      </c>
      <c r="C111" s="74" t="s">
        <v>207</v>
      </c>
      <c r="D111" s="22" t="s">
        <v>72</v>
      </c>
      <c r="E111" s="23"/>
      <c r="F111" s="24"/>
      <c r="G111" s="22" t="s">
        <v>72</v>
      </c>
      <c r="H111" s="23"/>
      <c r="I111" s="24"/>
      <c r="J111" s="22"/>
      <c r="K111" s="23"/>
      <c r="L111" s="24"/>
      <c r="M111" s="22"/>
      <c r="N111" s="23"/>
      <c r="O111" s="24"/>
      <c r="P111" s="22"/>
      <c r="Q111" s="23"/>
      <c r="R111" s="24"/>
      <c r="S111" s="22"/>
      <c r="T111" s="23"/>
      <c r="U111" s="24"/>
    </row>
    <row r="112" spans="2:21" ht="15.6">
      <c r="B112" s="11">
        <v>10</v>
      </c>
      <c r="C112" s="74" t="s">
        <v>225</v>
      </c>
      <c r="D112" s="22"/>
      <c r="E112" s="23" t="s">
        <v>72</v>
      </c>
      <c r="F112" s="24"/>
      <c r="G112" s="22"/>
      <c r="H112" s="23" t="s">
        <v>72</v>
      </c>
      <c r="I112" s="24"/>
      <c r="J112" s="22"/>
      <c r="K112" s="23"/>
      <c r="L112" s="24"/>
      <c r="M112" s="22"/>
      <c r="N112" s="23"/>
      <c r="O112" s="24"/>
      <c r="P112" s="22"/>
      <c r="Q112" s="23"/>
      <c r="R112" s="24"/>
      <c r="S112" s="22"/>
      <c r="T112" s="23"/>
      <c r="U112" s="24"/>
    </row>
    <row r="113" spans="2:21" ht="15.6">
      <c r="B113" s="11">
        <v>11</v>
      </c>
      <c r="C113" s="74" t="s">
        <v>208</v>
      </c>
      <c r="D113" s="22" t="s">
        <v>72</v>
      </c>
      <c r="E113" s="23"/>
      <c r="F113" s="24"/>
      <c r="G113" s="22" t="s">
        <v>72</v>
      </c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12</v>
      </c>
      <c r="C114" s="74" t="s">
        <v>223</v>
      </c>
      <c r="D114" s="22" t="s">
        <v>72</v>
      </c>
      <c r="E114" s="23"/>
      <c r="F114" s="24"/>
      <c r="G114" s="22"/>
      <c r="H114" s="23" t="s">
        <v>72</v>
      </c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6.2" thickBot="1">
      <c r="B115" s="11">
        <v>13</v>
      </c>
      <c r="C115" s="74" t="s">
        <v>180</v>
      </c>
      <c r="D115" s="22"/>
      <c r="E115" s="23" t="s">
        <v>72</v>
      </c>
      <c r="F115" s="24"/>
      <c r="G115" s="22" t="s">
        <v>72</v>
      </c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>
      <c r="B116" s="142" t="s">
        <v>14</v>
      </c>
      <c r="C116" s="143"/>
      <c r="D116" s="149">
        <f>(COUNTIF(D103:D115, "X"))/((COUNTA($C$103:$C$115))-(COUNTA(F103:F115)))</f>
        <v>0.76923076923076927</v>
      </c>
      <c r="E116" s="150"/>
      <c r="F116" s="151"/>
      <c r="G116" s="149">
        <f>(COUNTIF(G103:G115, "X"))/((COUNTA($C$103:$C$115))-(COUNTA(I103:I115)))</f>
        <v>0.84615384615384615</v>
      </c>
      <c r="H116" s="150"/>
      <c r="I116" s="151"/>
      <c r="J116" s="149">
        <f>(COUNTIF(J103:J115, "X"))/((COUNTA($C$64:$C$72))-(COUNTA(L103:L115)))</f>
        <v>0</v>
      </c>
      <c r="K116" s="150"/>
      <c r="L116" s="151"/>
      <c r="M116" s="149">
        <f>(COUNTIF(M103:M115, "X"))/((COUNTA($C$64:$C$72))-(COUNTA(O103:O115)))</f>
        <v>0</v>
      </c>
      <c r="N116" s="150"/>
      <c r="O116" s="151"/>
      <c r="P116" s="149">
        <f>(COUNTIF(P103:P115, "X"))/((COUNTA($C$64:$C$72))-(COUNTA(R103:R115)))</f>
        <v>0</v>
      </c>
      <c r="Q116" s="150"/>
      <c r="R116" s="151"/>
      <c r="S116" s="149">
        <f>(COUNTIF(S103:S115, "X"))/((COUNTA($C$64:$C$72))-(COUNTA(U103:U115)))</f>
        <v>0</v>
      </c>
      <c r="T116" s="150"/>
      <c r="U116" s="151"/>
    </row>
  </sheetData>
  <mergeCells count="64">
    <mergeCell ref="S116:U116"/>
    <mergeCell ref="B116:C116"/>
    <mergeCell ref="D116:F116"/>
    <mergeCell ref="G116:I116"/>
    <mergeCell ref="J116:L116"/>
    <mergeCell ref="M116:O116"/>
    <mergeCell ref="P116:R116"/>
    <mergeCell ref="P83:R83"/>
    <mergeCell ref="S83:U83"/>
    <mergeCell ref="B101:C101"/>
    <mergeCell ref="D101:F101"/>
    <mergeCell ref="G101:I101"/>
    <mergeCell ref="J101:L101"/>
    <mergeCell ref="M101:O101"/>
    <mergeCell ref="P101:R101"/>
    <mergeCell ref="S101:U101"/>
    <mergeCell ref="M83:O83"/>
    <mergeCell ref="B78:C78"/>
    <mergeCell ref="B83:C83"/>
    <mergeCell ref="D83:F83"/>
    <mergeCell ref="G83:I83"/>
    <mergeCell ref="J83:L83"/>
    <mergeCell ref="S62:U62"/>
    <mergeCell ref="B63:C63"/>
    <mergeCell ref="B77:C77"/>
    <mergeCell ref="D77:F77"/>
    <mergeCell ref="G77:I77"/>
    <mergeCell ref="J77:L77"/>
    <mergeCell ref="M77:O77"/>
    <mergeCell ref="P77:R77"/>
    <mergeCell ref="S77:U77"/>
    <mergeCell ref="B62:C62"/>
    <mergeCell ref="D62:F62"/>
    <mergeCell ref="G62:I62"/>
    <mergeCell ref="J62:L62"/>
    <mergeCell ref="M62:O62"/>
    <mergeCell ref="P62:R62"/>
    <mergeCell ref="S38:U38"/>
    <mergeCell ref="J56:L56"/>
    <mergeCell ref="M56:O56"/>
    <mergeCell ref="P56:R56"/>
    <mergeCell ref="S56:U56"/>
    <mergeCell ref="M38:O38"/>
    <mergeCell ref="P38:R38"/>
    <mergeCell ref="B57:C57"/>
    <mergeCell ref="B38:C38"/>
    <mergeCell ref="D38:F38"/>
    <mergeCell ref="G38:I38"/>
    <mergeCell ref="J38:L38"/>
    <mergeCell ref="S3:U4"/>
    <mergeCell ref="B5:C5"/>
    <mergeCell ref="B21:C21"/>
    <mergeCell ref="D21:F21"/>
    <mergeCell ref="G21:I21"/>
    <mergeCell ref="J21:L21"/>
    <mergeCell ref="M21:O21"/>
    <mergeCell ref="P21:R21"/>
    <mergeCell ref="S21:U21"/>
    <mergeCell ref="B3:C4"/>
    <mergeCell ref="E3:F4"/>
    <mergeCell ref="H3:I4"/>
    <mergeCell ref="K3:L4"/>
    <mergeCell ref="N3:O4"/>
    <mergeCell ref="Q3:R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987F-2667-42AE-92E1-D109F059B761}">
  <dimension ref="B1:X120"/>
  <sheetViews>
    <sheetView showGridLines="0" zoomScale="99" zoomScaleNormal="90" workbookViewId="0">
      <pane xSplit="3" ySplit="5" topLeftCell="D6" activePane="bottomRight" state="frozen"/>
      <selection pane="topRight" activeCell="D1" sqref="D1"/>
      <selection pane="bottomLeft" activeCell="A7" sqref="A7"/>
      <selection pane="bottomRight" activeCell="F80" sqref="F80"/>
    </sheetView>
  </sheetViews>
  <sheetFormatPr baseColWidth="10" defaultRowHeight="14.4"/>
  <cols>
    <col min="1" max="1" width="3.88671875" customWidth="1"/>
    <col min="2" max="2" width="3.33203125" style="1" customWidth="1"/>
    <col min="3" max="3" width="58.77734375" customWidth="1"/>
    <col min="4" max="5" width="11.6640625" customWidth="1"/>
    <col min="6" max="6" width="10.5546875" bestFit="1" customWidth="1"/>
    <col min="7" max="7" width="11.6640625" bestFit="1" customWidth="1"/>
    <col min="8" max="9" width="11.5546875" customWidth="1"/>
    <col min="10" max="10" width="10.5546875" customWidth="1"/>
    <col min="11" max="12" width="11.5546875" customWidth="1"/>
    <col min="13" max="13" width="10.5546875" customWidth="1"/>
    <col min="14" max="15" width="11.5546875" customWidth="1"/>
    <col min="16" max="16" width="10.5546875" customWidth="1"/>
    <col min="17" max="18" width="11.5546875" customWidth="1"/>
    <col min="19" max="19" width="10.5546875" customWidth="1"/>
    <col min="20" max="21" width="11.5546875" customWidth="1"/>
  </cols>
  <sheetData>
    <row r="1" spans="2:24" ht="15" thickBot="1"/>
    <row r="2" spans="2:24">
      <c r="B2" s="117" t="s">
        <v>43</v>
      </c>
      <c r="C2" s="118"/>
      <c r="D2" s="64" t="s">
        <v>0</v>
      </c>
      <c r="E2" s="169">
        <v>46055</v>
      </c>
      <c r="F2" s="170"/>
      <c r="G2" s="64" t="s">
        <v>0</v>
      </c>
      <c r="H2" s="169">
        <v>46055</v>
      </c>
      <c r="I2" s="170"/>
      <c r="J2" s="64" t="s">
        <v>0</v>
      </c>
      <c r="K2" s="169">
        <f t="shared" ref="K2" si="0">H2+1</f>
        <v>46056</v>
      </c>
      <c r="L2" s="170"/>
      <c r="M2" s="64" t="s">
        <v>0</v>
      </c>
      <c r="N2" s="169">
        <f t="shared" ref="N2" si="1">K2+1</f>
        <v>46057</v>
      </c>
      <c r="O2" s="170"/>
      <c r="P2" s="64" t="s">
        <v>0</v>
      </c>
      <c r="Q2" s="169">
        <f t="shared" ref="Q2" si="2">N2+1</f>
        <v>46058</v>
      </c>
      <c r="R2" s="170"/>
      <c r="S2" s="158" t="s">
        <v>100</v>
      </c>
      <c r="T2" s="159"/>
      <c r="U2" s="160"/>
    </row>
    <row r="3" spans="2:24">
      <c r="B3" s="119"/>
      <c r="C3" s="120"/>
      <c r="D3" s="11" t="s">
        <v>1</v>
      </c>
      <c r="E3" s="171"/>
      <c r="F3" s="172"/>
      <c r="G3" s="11" t="s">
        <v>1</v>
      </c>
      <c r="H3" s="171"/>
      <c r="I3" s="172"/>
      <c r="J3" s="11" t="s">
        <v>1</v>
      </c>
      <c r="K3" s="171">
        <v>45916</v>
      </c>
      <c r="L3" s="172"/>
      <c r="M3" s="11" t="s">
        <v>1</v>
      </c>
      <c r="N3" s="171">
        <v>45916</v>
      </c>
      <c r="O3" s="172"/>
      <c r="P3" s="11" t="s">
        <v>1</v>
      </c>
      <c r="Q3" s="171">
        <v>45916</v>
      </c>
      <c r="R3" s="172"/>
      <c r="S3" s="161"/>
      <c r="T3" s="162"/>
      <c r="U3" s="163"/>
    </row>
    <row r="4" spans="2:24">
      <c r="B4" s="131" t="s">
        <v>131</v>
      </c>
      <c r="C4" s="132"/>
      <c r="D4" s="13" t="s">
        <v>2</v>
      </c>
      <c r="E4" s="3" t="s">
        <v>3</v>
      </c>
      <c r="F4" s="65" t="s">
        <v>4</v>
      </c>
      <c r="G4" s="13" t="s">
        <v>2</v>
      </c>
      <c r="H4" s="3" t="s">
        <v>3</v>
      </c>
      <c r="I4" s="65" t="s">
        <v>4</v>
      </c>
      <c r="J4" s="13" t="s">
        <v>2</v>
      </c>
      <c r="K4" s="3" t="s">
        <v>3</v>
      </c>
      <c r="L4" s="65" t="s">
        <v>4</v>
      </c>
      <c r="M4" s="13" t="s">
        <v>2</v>
      </c>
      <c r="N4" s="3" t="s">
        <v>3</v>
      </c>
      <c r="O4" s="65" t="s">
        <v>4</v>
      </c>
      <c r="P4" s="13" t="s">
        <v>2</v>
      </c>
      <c r="Q4" s="3" t="s">
        <v>3</v>
      </c>
      <c r="R4" s="65" t="s">
        <v>4</v>
      </c>
      <c r="S4" s="13" t="s">
        <v>2</v>
      </c>
      <c r="T4" s="3" t="s">
        <v>3</v>
      </c>
      <c r="U4" s="65" t="s">
        <v>4</v>
      </c>
    </row>
    <row r="5" spans="2:24" ht="19.95" customHeight="1">
      <c r="B5" s="80" t="s">
        <v>188</v>
      </c>
      <c r="C5" s="94" t="s">
        <v>129</v>
      </c>
      <c r="D5" s="79">
        <v>46084</v>
      </c>
      <c r="E5" s="4"/>
      <c r="F5" s="15"/>
      <c r="G5" s="79">
        <v>46099</v>
      </c>
      <c r="H5" s="4"/>
      <c r="I5" s="15"/>
      <c r="J5" s="14"/>
      <c r="K5" s="4"/>
      <c r="L5" s="15"/>
      <c r="M5" s="14"/>
      <c r="N5" s="4"/>
      <c r="O5" s="15"/>
      <c r="P5" s="14"/>
      <c r="Q5" s="4"/>
      <c r="R5" s="15"/>
      <c r="S5" s="14"/>
      <c r="T5" s="4"/>
      <c r="U5" s="15"/>
      <c r="W5" t="s">
        <v>101</v>
      </c>
      <c r="X5" s="75"/>
    </row>
    <row r="6" spans="2:24" ht="16.95" customHeight="1">
      <c r="B6" s="11">
        <v>1</v>
      </c>
      <c r="C6" s="72" t="s">
        <v>127</v>
      </c>
      <c r="D6" s="11" t="s">
        <v>72</v>
      </c>
      <c r="E6" s="2"/>
      <c r="F6" s="12"/>
      <c r="G6" s="11" t="s">
        <v>72</v>
      </c>
      <c r="H6" s="2"/>
      <c r="I6" s="12"/>
      <c r="J6" s="11"/>
      <c r="K6" s="2"/>
      <c r="L6" s="12"/>
      <c r="M6" s="11"/>
      <c r="N6" s="2"/>
      <c r="O6" s="12"/>
      <c r="P6" s="11"/>
      <c r="Q6" s="2"/>
      <c r="R6" s="12"/>
      <c r="S6" s="11"/>
      <c r="T6" s="2"/>
      <c r="U6" s="12"/>
      <c r="W6" t="s">
        <v>102</v>
      </c>
      <c r="X6" s="76"/>
    </row>
    <row r="7" spans="2:24" ht="16.95" customHeight="1">
      <c r="B7" s="11">
        <v>2</v>
      </c>
      <c r="C7" s="72" t="s">
        <v>182</v>
      </c>
      <c r="D7" s="11" t="s">
        <v>72</v>
      </c>
      <c r="E7" s="2"/>
      <c r="F7" s="12"/>
      <c r="G7" s="11" t="s">
        <v>72</v>
      </c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</row>
    <row r="8" spans="2:24" ht="16.95" customHeight="1">
      <c r="B8" s="11">
        <v>3</v>
      </c>
      <c r="C8" s="72" t="s">
        <v>183</v>
      </c>
      <c r="D8" s="11" t="s">
        <v>72</v>
      </c>
      <c r="E8" s="2"/>
      <c r="F8" s="12"/>
      <c r="G8" s="11" t="s">
        <v>72</v>
      </c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6.95" customHeight="1">
      <c r="B9" s="11">
        <v>4</v>
      </c>
      <c r="C9" s="74" t="s">
        <v>126</v>
      </c>
      <c r="D9" s="11" t="s">
        <v>72</v>
      </c>
      <c r="E9" s="2"/>
      <c r="F9" s="12"/>
      <c r="G9" s="11" t="s">
        <v>72</v>
      </c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6.95" customHeight="1">
      <c r="B10" s="11">
        <v>5</v>
      </c>
      <c r="C10" s="74" t="s">
        <v>140</v>
      </c>
      <c r="D10" s="11" t="s">
        <v>72</v>
      </c>
      <c r="E10" s="2"/>
      <c r="F10" s="12"/>
      <c r="G10" s="11" t="s">
        <v>72</v>
      </c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6.95" customHeight="1">
      <c r="B11" s="11">
        <v>6</v>
      </c>
      <c r="C11" s="74" t="s">
        <v>184</v>
      </c>
      <c r="D11" s="11" t="s">
        <v>72</v>
      </c>
      <c r="E11" s="2"/>
      <c r="F11" s="12"/>
      <c r="G11" s="11" t="s">
        <v>72</v>
      </c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6.95" customHeight="1">
      <c r="B12" s="11">
        <v>7</v>
      </c>
      <c r="C12" s="74" t="s">
        <v>185</v>
      </c>
      <c r="D12" s="11" t="s">
        <v>72</v>
      </c>
      <c r="E12" s="2"/>
      <c r="F12" s="12"/>
      <c r="G12" s="11" t="s">
        <v>72</v>
      </c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6.95" customHeight="1">
      <c r="B13" s="11">
        <v>8</v>
      </c>
      <c r="C13" s="74" t="s">
        <v>186</v>
      </c>
      <c r="D13" s="11" t="s">
        <v>72</v>
      </c>
      <c r="E13" s="2"/>
      <c r="F13" s="12"/>
      <c r="G13" s="11" t="s">
        <v>72</v>
      </c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</row>
    <row r="14" spans="2:24" ht="16.95" customHeight="1">
      <c r="B14" s="11">
        <v>9</v>
      </c>
      <c r="C14" s="74" t="s">
        <v>128</v>
      </c>
      <c r="D14" s="11" t="s">
        <v>72</v>
      </c>
      <c r="E14" s="2"/>
      <c r="F14" s="12"/>
      <c r="G14" s="11" t="s">
        <v>72</v>
      </c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</row>
    <row r="15" spans="2:24" ht="16.95" customHeight="1">
      <c r="B15" s="11">
        <v>10</v>
      </c>
      <c r="C15" s="74" t="s">
        <v>165</v>
      </c>
      <c r="D15" s="22" t="s">
        <v>72</v>
      </c>
      <c r="E15" s="23"/>
      <c r="F15" s="24"/>
      <c r="G15" s="22" t="s">
        <v>72</v>
      </c>
      <c r="H15" s="23"/>
      <c r="I15" s="24"/>
      <c r="J15" s="22"/>
      <c r="K15" s="23"/>
      <c r="L15" s="24"/>
      <c r="M15" s="22"/>
      <c r="N15" s="23"/>
      <c r="O15" s="24"/>
      <c r="P15" s="22"/>
      <c r="Q15" s="23"/>
      <c r="R15" s="24"/>
      <c r="S15" s="22"/>
      <c r="T15" s="23"/>
      <c r="U15" s="24"/>
    </row>
    <row r="16" spans="2:24" ht="16.95" customHeight="1" thickBot="1">
      <c r="B16" s="11">
        <v>11</v>
      </c>
      <c r="C16" s="74" t="s">
        <v>180</v>
      </c>
      <c r="D16" s="22" t="s">
        <v>72</v>
      </c>
      <c r="E16" s="23"/>
      <c r="F16" s="24"/>
      <c r="G16" s="22" t="s">
        <v>72</v>
      </c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6.95" customHeight="1" thickBot="1">
      <c r="B17" s="135" t="s">
        <v>14</v>
      </c>
      <c r="C17" s="136"/>
      <c r="D17" s="137">
        <f>(COUNTIF(D6:D16, "X"))/((COUNTA($C$6:$C$16))-(COUNTA(F6:F16)))</f>
        <v>1</v>
      </c>
      <c r="E17" s="138"/>
      <c r="F17" s="139"/>
      <c r="G17" s="137">
        <f>(COUNTIF(G6:G16, "X"))/((COUNTA($C$6:$C$16))-(COUNTA(I6:I16)))</f>
        <v>1</v>
      </c>
      <c r="H17" s="138"/>
      <c r="I17" s="139"/>
      <c r="J17" s="137">
        <f>(COUNTIF(J6:J16, "X"))/((COUNTA($C$6:$C$16))-(COUNTA(L6:L16)))</f>
        <v>0</v>
      </c>
      <c r="K17" s="138"/>
      <c r="L17" s="139"/>
      <c r="M17" s="137">
        <f>(COUNTIF(M6:M16, "X"))/((COUNTA($C$6:$C$16))-(COUNTA(O6:O16)))</f>
        <v>0</v>
      </c>
      <c r="N17" s="138"/>
      <c r="O17" s="139"/>
      <c r="P17" s="137">
        <f>(COUNTIF(P6:P16, "X"))/((COUNTA($C$6:$C$16))-(COUNTA(R6:R16)))</f>
        <v>0</v>
      </c>
      <c r="Q17" s="138"/>
      <c r="R17" s="139"/>
      <c r="S17" s="137">
        <f>(COUNTIF(S6:S16, "X"))/((COUNTA($C$6:$C$16))-(COUNTA(U6:U16)))</f>
        <v>0</v>
      </c>
      <c r="T17" s="138"/>
      <c r="U17" s="139"/>
    </row>
    <row r="18" spans="2:21" ht="14.4" customHeight="1">
      <c r="B18" s="95" t="s">
        <v>188</v>
      </c>
      <c r="C18" s="95" t="s">
        <v>130</v>
      </c>
      <c r="D18" s="80">
        <v>46093</v>
      </c>
      <c r="E18" s="26"/>
      <c r="F18" s="27"/>
      <c r="G18" s="80">
        <v>46105</v>
      </c>
      <c r="H18" s="26"/>
      <c r="I18" s="27"/>
      <c r="J18" s="25"/>
      <c r="K18" s="26"/>
      <c r="L18" s="27"/>
      <c r="M18" s="25"/>
      <c r="N18" s="26"/>
      <c r="O18" s="27"/>
      <c r="P18" s="25"/>
      <c r="Q18" s="26"/>
      <c r="R18" s="27"/>
      <c r="S18" s="25"/>
      <c r="T18" s="26"/>
      <c r="U18" s="27"/>
    </row>
    <row r="19" spans="2:21" ht="15.6">
      <c r="B19" s="11">
        <v>1</v>
      </c>
      <c r="C19" s="72" t="s">
        <v>127</v>
      </c>
      <c r="D19" s="11" t="s">
        <v>72</v>
      </c>
      <c r="E19" s="2"/>
      <c r="F19" s="12"/>
      <c r="G19" s="11" t="s">
        <v>67</v>
      </c>
      <c r="H19" s="2"/>
      <c r="I19" s="12"/>
      <c r="J19" s="11"/>
      <c r="K19" s="2"/>
      <c r="L19" s="12"/>
      <c r="M19" s="11"/>
      <c r="N19" s="2"/>
      <c r="O19" s="12"/>
      <c r="P19" s="11"/>
      <c r="Q19" s="2"/>
      <c r="R19" s="12"/>
      <c r="S19" s="11"/>
      <c r="T19" s="2"/>
      <c r="U19" s="12"/>
    </row>
    <row r="20" spans="2:21" ht="15.6">
      <c r="B20" s="11">
        <v>2</v>
      </c>
      <c r="C20" s="72" t="s">
        <v>182</v>
      </c>
      <c r="D20" s="11" t="s">
        <v>72</v>
      </c>
      <c r="E20" s="2"/>
      <c r="F20" s="12"/>
      <c r="G20" s="11" t="s">
        <v>67</v>
      </c>
      <c r="H20" s="2"/>
      <c r="I20" s="12"/>
      <c r="J20" s="11"/>
      <c r="K20" s="2"/>
      <c r="L20" s="12"/>
      <c r="M20" s="11"/>
      <c r="N20" s="2"/>
      <c r="O20" s="12"/>
      <c r="P20" s="11"/>
      <c r="Q20" s="2"/>
      <c r="R20" s="12"/>
      <c r="S20" s="11"/>
      <c r="T20" s="2"/>
      <c r="U20" s="12"/>
    </row>
    <row r="21" spans="2:21" ht="15.6">
      <c r="B21" s="11">
        <v>3</v>
      </c>
      <c r="C21" s="72" t="s">
        <v>183</v>
      </c>
      <c r="D21" s="11" t="s">
        <v>72</v>
      </c>
      <c r="E21" s="2"/>
      <c r="F21" s="12"/>
      <c r="G21" s="11" t="s">
        <v>72</v>
      </c>
      <c r="H21" s="2"/>
      <c r="I21" s="12"/>
      <c r="J21" s="11"/>
      <c r="K21" s="2"/>
      <c r="L21" s="12"/>
      <c r="M21" s="11"/>
      <c r="N21" s="2"/>
      <c r="O21" s="12"/>
      <c r="P21" s="11"/>
      <c r="Q21" s="2"/>
      <c r="R21" s="12"/>
      <c r="S21" s="11"/>
      <c r="T21" s="2"/>
      <c r="U21" s="12"/>
    </row>
    <row r="22" spans="2:21" ht="15.6">
      <c r="B22" s="11">
        <v>4</v>
      </c>
      <c r="C22" s="74" t="s">
        <v>126</v>
      </c>
      <c r="D22" s="11" t="s">
        <v>72</v>
      </c>
      <c r="E22" s="2"/>
      <c r="F22" s="12"/>
      <c r="G22" s="11" t="s">
        <v>72</v>
      </c>
      <c r="H22" s="2"/>
      <c r="I22" s="12"/>
      <c r="J22" s="11"/>
      <c r="K22" s="2"/>
      <c r="L22" s="12"/>
      <c r="M22" s="11"/>
      <c r="N22" s="2"/>
      <c r="O22" s="12"/>
      <c r="P22" s="11"/>
      <c r="Q22" s="2"/>
      <c r="R22" s="12"/>
      <c r="S22" s="11"/>
      <c r="T22" s="2"/>
      <c r="U22" s="12"/>
    </row>
    <row r="23" spans="2:21" ht="15.6">
      <c r="B23" s="11">
        <v>5</v>
      </c>
      <c r="C23" s="74" t="s">
        <v>140</v>
      </c>
      <c r="D23" s="11" t="s">
        <v>72</v>
      </c>
      <c r="E23" s="2"/>
      <c r="F23" s="12"/>
      <c r="G23" s="11" t="s">
        <v>72</v>
      </c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11">
        <v>6</v>
      </c>
      <c r="C24" s="74" t="s">
        <v>184</v>
      </c>
      <c r="D24" s="11"/>
      <c r="E24" s="2"/>
      <c r="F24" s="12" t="s">
        <v>72</v>
      </c>
      <c r="G24" s="11"/>
      <c r="H24" s="2"/>
      <c r="I24" s="12" t="s">
        <v>72</v>
      </c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11">
        <v>7</v>
      </c>
      <c r="C25" s="74" t="s">
        <v>185</v>
      </c>
      <c r="D25" s="11" t="s">
        <v>72</v>
      </c>
      <c r="E25" s="2"/>
      <c r="F25" s="12"/>
      <c r="G25" s="11" t="s">
        <v>72</v>
      </c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11">
        <v>8</v>
      </c>
      <c r="C26" s="74" t="s">
        <v>186</v>
      </c>
      <c r="D26" s="11" t="s">
        <v>72</v>
      </c>
      <c r="E26" s="2"/>
      <c r="F26" s="12"/>
      <c r="G26" s="11" t="s">
        <v>72</v>
      </c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11">
        <v>9</v>
      </c>
      <c r="C27" s="74" t="s">
        <v>128</v>
      </c>
      <c r="D27" s="11" t="s">
        <v>72</v>
      </c>
      <c r="E27" s="2"/>
      <c r="F27" s="12"/>
      <c r="G27" s="11" t="s">
        <v>72</v>
      </c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11">
        <v>10</v>
      </c>
      <c r="C28" s="74" t="s">
        <v>180</v>
      </c>
      <c r="D28" s="22" t="s">
        <v>72</v>
      </c>
      <c r="E28" s="23"/>
      <c r="F28" s="12"/>
      <c r="G28" s="11" t="s">
        <v>72</v>
      </c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11">
        <v>11</v>
      </c>
      <c r="C29" s="74" t="s">
        <v>165</v>
      </c>
      <c r="D29" s="22" t="s">
        <v>72</v>
      </c>
      <c r="E29" s="23"/>
      <c r="F29" s="12"/>
      <c r="G29" s="11" t="s">
        <v>72</v>
      </c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11">
        <v>12</v>
      </c>
      <c r="C30" s="74" t="s">
        <v>151</v>
      </c>
      <c r="D30" s="22" t="s">
        <v>72</v>
      </c>
      <c r="E30" s="23"/>
      <c r="F30" s="12"/>
      <c r="G30" s="11" t="s">
        <v>72</v>
      </c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6.2" thickBot="1">
      <c r="B31" s="11">
        <v>13</v>
      </c>
      <c r="C31" s="71" t="s">
        <v>187</v>
      </c>
      <c r="D31" s="22" t="s">
        <v>72</v>
      </c>
      <c r="E31" s="23"/>
      <c r="F31" s="12"/>
      <c r="G31" s="11" t="s">
        <v>72</v>
      </c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" thickBot="1">
      <c r="B32" s="142" t="s">
        <v>14</v>
      </c>
      <c r="C32" s="143"/>
      <c r="D32" s="137">
        <f>(COUNTIF(D19:D31, "X"))/((COUNTA($C$19:$C$31))-(COUNTA(F19:F31)))</f>
        <v>1</v>
      </c>
      <c r="E32" s="138"/>
      <c r="F32" s="139"/>
      <c r="G32" s="137">
        <f>(COUNTIF(G19:G31, "X"))/((COUNTA($C$19:$C$31))-(COUNTA(I19:I31)))</f>
        <v>1</v>
      </c>
      <c r="H32" s="138"/>
      <c r="I32" s="139"/>
      <c r="J32" s="137">
        <f>(COUNTIF(J19:J31, "X"))/((COUNTA($C$19:$C$31))-(COUNTA(L19:L31)))</f>
        <v>0</v>
      </c>
      <c r="K32" s="138"/>
      <c r="L32" s="139"/>
      <c r="M32" s="137">
        <f>(COUNTIF(M19:M31, "X"))/((COUNTA($C$19:$C$31))-(COUNTA(O19:O31)))</f>
        <v>0</v>
      </c>
      <c r="N32" s="138"/>
      <c r="O32" s="139"/>
      <c r="P32" s="137">
        <f>(COUNTIF(P19:P31, "X"))/((COUNTA($C$19:$C$31))-(COUNTA(R19:R31)))</f>
        <v>0</v>
      </c>
      <c r="Q32" s="138"/>
      <c r="R32" s="139"/>
      <c r="S32" s="137">
        <f>(COUNTIF(S19:S31, "X"))/((COUNTA($C$19:$C$31))-(COUNTA(U19:U31)))</f>
        <v>0</v>
      </c>
      <c r="T32" s="138"/>
      <c r="U32" s="139"/>
    </row>
    <row r="33" spans="2:21" ht="14.4" customHeight="1">
      <c r="B33" s="94" t="s">
        <v>188</v>
      </c>
      <c r="C33" s="94" t="s">
        <v>132</v>
      </c>
      <c r="D33" s="80">
        <v>46094</v>
      </c>
      <c r="E33" s="28"/>
      <c r="F33" s="27"/>
      <c r="G33" s="80">
        <v>46106</v>
      </c>
      <c r="H33" s="28"/>
      <c r="I33" s="27"/>
      <c r="J33" s="25"/>
      <c r="K33" s="28"/>
      <c r="L33" s="27"/>
      <c r="M33" s="25"/>
      <c r="N33" s="28"/>
      <c r="O33" s="27"/>
      <c r="P33" s="25"/>
      <c r="Q33" s="28"/>
      <c r="R33" s="27"/>
      <c r="S33" s="25"/>
      <c r="T33" s="28"/>
      <c r="U33" s="27"/>
    </row>
    <row r="34" spans="2:21" ht="15.6">
      <c r="B34" s="11">
        <v>1</v>
      </c>
      <c r="C34" s="72" t="s">
        <v>127</v>
      </c>
      <c r="D34" s="11" t="s">
        <v>72</v>
      </c>
      <c r="E34" s="2"/>
      <c r="F34" s="12"/>
      <c r="G34" s="11" t="s">
        <v>72</v>
      </c>
      <c r="H34" s="2"/>
      <c r="I34" s="12"/>
      <c r="J34" s="11"/>
      <c r="K34" s="2"/>
      <c r="L34" s="12"/>
      <c r="M34" s="11"/>
      <c r="N34" s="2"/>
      <c r="O34" s="12"/>
      <c r="P34" s="11"/>
      <c r="Q34" s="2"/>
      <c r="R34" s="12"/>
      <c r="S34" s="11"/>
      <c r="T34" s="2"/>
      <c r="U34" s="12"/>
    </row>
    <row r="35" spans="2:21" ht="15.6">
      <c r="B35" s="11">
        <v>2</v>
      </c>
      <c r="C35" s="72" t="s">
        <v>182</v>
      </c>
      <c r="D35" s="11" t="s">
        <v>72</v>
      </c>
      <c r="E35" s="2"/>
      <c r="F35" s="12"/>
      <c r="G35" s="11" t="s">
        <v>72</v>
      </c>
      <c r="H35" s="2"/>
      <c r="I35" s="12"/>
      <c r="J35" s="11"/>
      <c r="K35" s="2"/>
      <c r="L35" s="12"/>
      <c r="M35" s="11"/>
      <c r="N35" s="2"/>
      <c r="O35" s="12"/>
      <c r="P35" s="11"/>
      <c r="Q35" s="2"/>
      <c r="R35" s="12"/>
      <c r="S35" s="11"/>
      <c r="T35" s="2"/>
      <c r="U35" s="12"/>
    </row>
    <row r="36" spans="2:21" ht="15.6">
      <c r="B36" s="11">
        <v>3</v>
      </c>
      <c r="C36" s="72" t="s">
        <v>133</v>
      </c>
      <c r="D36" s="93" t="s">
        <v>72</v>
      </c>
      <c r="E36" s="2"/>
      <c r="F36" s="12"/>
      <c r="G36" s="93" t="s">
        <v>72</v>
      </c>
      <c r="H36" s="2"/>
      <c r="I36" s="12"/>
      <c r="J36" s="11"/>
      <c r="K36" s="2"/>
      <c r="L36" s="12"/>
      <c r="M36" s="11"/>
      <c r="N36" s="2"/>
      <c r="O36" s="12"/>
      <c r="P36" s="11"/>
      <c r="Q36" s="2"/>
      <c r="R36" s="12"/>
      <c r="S36" s="11"/>
      <c r="T36" s="2"/>
      <c r="U36" s="12"/>
    </row>
    <row r="37" spans="2:21" ht="15.6">
      <c r="B37" s="11">
        <v>4</v>
      </c>
      <c r="C37" s="74" t="s">
        <v>126</v>
      </c>
      <c r="D37" s="11" t="s">
        <v>72</v>
      </c>
      <c r="E37" s="2"/>
      <c r="F37" s="12"/>
      <c r="G37" s="11" t="s">
        <v>72</v>
      </c>
      <c r="H37" s="2"/>
      <c r="I37" s="12"/>
      <c r="J37" s="11"/>
      <c r="K37" s="2"/>
      <c r="L37" s="12"/>
      <c r="M37" s="11"/>
      <c r="N37" s="2"/>
      <c r="O37" s="12"/>
      <c r="P37" s="11"/>
      <c r="Q37" s="2"/>
      <c r="R37" s="12"/>
      <c r="S37" s="11"/>
      <c r="T37" s="2"/>
      <c r="U37" s="12"/>
    </row>
    <row r="38" spans="2:21" ht="15.6">
      <c r="B38" s="11">
        <v>5</v>
      </c>
      <c r="C38" s="74" t="s">
        <v>219</v>
      </c>
      <c r="D38" s="11"/>
      <c r="E38" s="2" t="s">
        <v>72</v>
      </c>
      <c r="F38" s="12"/>
      <c r="G38" s="11"/>
      <c r="H38" s="2" t="s">
        <v>72</v>
      </c>
      <c r="I38" s="12"/>
      <c r="J38" s="11"/>
      <c r="K38" s="2"/>
      <c r="L38" s="12"/>
      <c r="M38" s="11"/>
      <c r="N38" s="2"/>
      <c r="O38" s="12"/>
      <c r="P38" s="11"/>
      <c r="Q38" s="2"/>
      <c r="R38" s="12"/>
      <c r="S38" s="11"/>
      <c r="T38" s="2"/>
      <c r="U38" s="12"/>
    </row>
    <row r="39" spans="2:21" ht="15.6">
      <c r="B39" s="11">
        <v>6</v>
      </c>
      <c r="C39" s="74" t="s">
        <v>173</v>
      </c>
      <c r="D39" s="11" t="s">
        <v>72</v>
      </c>
      <c r="E39" s="23"/>
      <c r="F39" s="24"/>
      <c r="G39" s="22" t="s">
        <v>72</v>
      </c>
      <c r="H39" s="23"/>
      <c r="I39" s="24"/>
      <c r="J39" s="22"/>
      <c r="K39" s="23"/>
      <c r="L39" s="24"/>
      <c r="M39" s="22"/>
      <c r="N39" s="23"/>
      <c r="O39" s="24"/>
      <c r="P39" s="22"/>
      <c r="Q39" s="23"/>
      <c r="R39" s="24"/>
      <c r="S39" s="22"/>
      <c r="T39" s="23"/>
      <c r="U39" s="24"/>
    </row>
    <row r="40" spans="2:21" ht="15.6">
      <c r="B40" s="11">
        <v>7</v>
      </c>
      <c r="C40" s="74" t="s">
        <v>185</v>
      </c>
      <c r="D40" s="11" t="s">
        <v>72</v>
      </c>
      <c r="E40" s="23"/>
      <c r="F40" s="24"/>
      <c r="G40" s="22" t="s">
        <v>72</v>
      </c>
      <c r="H40" s="23"/>
      <c r="I40" s="24"/>
      <c r="J40" s="22"/>
      <c r="K40" s="23"/>
      <c r="L40" s="24"/>
      <c r="M40" s="22"/>
      <c r="N40" s="23"/>
      <c r="O40" s="24"/>
      <c r="P40" s="22"/>
      <c r="Q40" s="23"/>
      <c r="R40" s="24"/>
      <c r="S40" s="22"/>
      <c r="T40" s="23"/>
      <c r="U40" s="24"/>
    </row>
    <row r="41" spans="2:21" ht="15.6">
      <c r="B41" s="11">
        <v>8</v>
      </c>
      <c r="C41" s="74" t="s">
        <v>186</v>
      </c>
      <c r="D41" s="11" t="s">
        <v>72</v>
      </c>
      <c r="E41" s="23"/>
      <c r="F41" s="24"/>
      <c r="G41" s="22" t="s">
        <v>72</v>
      </c>
      <c r="H41" s="23"/>
      <c r="I41" s="24"/>
      <c r="J41" s="22"/>
      <c r="K41" s="23"/>
      <c r="L41" s="24"/>
      <c r="M41" s="22"/>
      <c r="N41" s="23"/>
      <c r="O41" s="24"/>
      <c r="P41" s="22"/>
      <c r="Q41" s="23"/>
      <c r="R41" s="24"/>
      <c r="S41" s="22"/>
      <c r="T41" s="23"/>
      <c r="U41" s="24"/>
    </row>
    <row r="42" spans="2:21" ht="15.6">
      <c r="B42" s="11">
        <v>9</v>
      </c>
      <c r="C42" s="74" t="s">
        <v>128</v>
      </c>
      <c r="D42" s="11" t="s">
        <v>72</v>
      </c>
      <c r="E42" s="23"/>
      <c r="F42" s="24"/>
      <c r="G42" s="22" t="s">
        <v>72</v>
      </c>
      <c r="H42" s="23"/>
      <c r="I42" s="24"/>
      <c r="J42" s="22"/>
      <c r="K42" s="23"/>
      <c r="L42" s="24"/>
      <c r="M42" s="22"/>
      <c r="N42" s="23"/>
      <c r="O42" s="24"/>
      <c r="P42" s="22"/>
      <c r="Q42" s="23"/>
      <c r="R42" s="24"/>
      <c r="S42" s="22"/>
      <c r="T42" s="23"/>
      <c r="U42" s="24"/>
    </row>
    <row r="43" spans="2:21" ht="15.6">
      <c r="B43" s="11">
        <v>10</v>
      </c>
      <c r="C43" s="74" t="s">
        <v>163</v>
      </c>
      <c r="D43" s="11" t="s">
        <v>72</v>
      </c>
      <c r="E43" s="23"/>
      <c r="F43" s="24"/>
      <c r="G43" s="22" t="s">
        <v>72</v>
      </c>
      <c r="H43" s="23"/>
      <c r="I43" s="24"/>
      <c r="J43" s="22"/>
      <c r="K43" s="23"/>
      <c r="L43" s="24"/>
      <c r="M43" s="22"/>
      <c r="N43" s="23"/>
      <c r="O43" s="24"/>
      <c r="P43" s="22"/>
      <c r="Q43" s="23"/>
      <c r="R43" s="24"/>
      <c r="S43" s="22"/>
      <c r="T43" s="23"/>
      <c r="U43" s="24"/>
    </row>
    <row r="44" spans="2:21" ht="15.6">
      <c r="B44" s="11">
        <v>11</v>
      </c>
      <c r="C44" s="71" t="s">
        <v>164</v>
      </c>
      <c r="D44" s="93" t="s">
        <v>72</v>
      </c>
      <c r="E44" s="23"/>
      <c r="F44" s="24"/>
      <c r="G44" s="104" t="s">
        <v>72</v>
      </c>
      <c r="H44" s="23"/>
      <c r="I44" s="24"/>
      <c r="J44" s="22"/>
      <c r="K44" s="23"/>
      <c r="L44" s="24"/>
      <c r="M44" s="22"/>
      <c r="N44" s="23"/>
      <c r="O44" s="24"/>
      <c r="P44" s="22"/>
      <c r="Q44" s="23"/>
      <c r="R44" s="24"/>
      <c r="S44" s="22"/>
      <c r="T44" s="23"/>
      <c r="U44" s="24"/>
    </row>
    <row r="45" spans="2:21" ht="15.6">
      <c r="B45" s="11">
        <v>12</v>
      </c>
      <c r="C45" s="74" t="s">
        <v>165</v>
      </c>
      <c r="D45" s="11" t="s">
        <v>72</v>
      </c>
      <c r="E45" s="23"/>
      <c r="F45" s="24"/>
      <c r="G45" s="22" t="s">
        <v>72</v>
      </c>
      <c r="H45" s="23"/>
      <c r="I45" s="24"/>
      <c r="J45" s="22"/>
      <c r="K45" s="23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13</v>
      </c>
      <c r="C46" s="74" t="s">
        <v>135</v>
      </c>
      <c r="D46" s="11" t="s">
        <v>72</v>
      </c>
      <c r="E46" s="23"/>
      <c r="F46" s="24"/>
      <c r="G46" s="22" t="s">
        <v>72</v>
      </c>
      <c r="H46" s="23"/>
      <c r="I46" s="24"/>
      <c r="J46" s="22"/>
      <c r="K46" s="23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14</v>
      </c>
      <c r="C47" s="74" t="s">
        <v>136</v>
      </c>
      <c r="D47" s="11"/>
      <c r="E47" s="23" t="s">
        <v>72</v>
      </c>
      <c r="F47" s="24"/>
      <c r="G47" s="22"/>
      <c r="H47" s="23" t="s">
        <v>72</v>
      </c>
      <c r="I47" s="24"/>
      <c r="J47" s="22"/>
      <c r="K47" s="23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6.2" thickBot="1">
      <c r="B48" s="11">
        <v>15</v>
      </c>
      <c r="C48" s="71" t="s">
        <v>134</v>
      </c>
      <c r="D48" s="11"/>
      <c r="E48" s="23" t="s">
        <v>72</v>
      </c>
      <c r="F48" s="24"/>
      <c r="G48" s="22"/>
      <c r="H48" s="23" t="s">
        <v>72</v>
      </c>
      <c r="I48" s="24"/>
      <c r="J48" s="22"/>
      <c r="K48" s="23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" thickBot="1">
      <c r="B49" s="142" t="s">
        <v>14</v>
      </c>
      <c r="C49" s="143"/>
      <c r="D49" s="137">
        <f>(COUNTIF(D34:D48, "X"))/((COUNTA($C$34:$C$48))-(COUNTA(F34:F48)))</f>
        <v>0.8</v>
      </c>
      <c r="E49" s="138"/>
      <c r="F49" s="139"/>
      <c r="G49" s="137">
        <f>(COUNTIF(G34:G48, "X"))/((COUNTA($C$34:$C$48))-(COUNTA(I34:I48)))</f>
        <v>0.8</v>
      </c>
      <c r="H49" s="138"/>
      <c r="I49" s="139"/>
      <c r="J49" s="137">
        <f>(COUNTIF(J34:J48, "X"))/((COUNTA($C$34:$C$48))-(COUNTA(L34:L48)))</f>
        <v>0</v>
      </c>
      <c r="K49" s="138"/>
      <c r="L49" s="139"/>
      <c r="M49" s="137">
        <f>(COUNTIF(M34:M48, "X"))/((COUNTA($C$34:$C$48))-(COUNTA(O34:O48)))</f>
        <v>0</v>
      </c>
      <c r="N49" s="138"/>
      <c r="O49" s="139"/>
      <c r="P49" s="137">
        <f>(COUNTIF(P34:P48, "X"))/((COUNTA($C$34:$C$48))-(COUNTA(R34:R48)))</f>
        <v>0</v>
      </c>
      <c r="Q49" s="138"/>
      <c r="R49" s="139"/>
      <c r="S49" s="137">
        <f>(COUNTIF(S34:S48, "X"))/((COUNTA($C$34:$C$48))-(COUNTA(U34:U48)))</f>
        <v>0</v>
      </c>
      <c r="T49" s="138"/>
      <c r="U49" s="139"/>
    </row>
    <row r="50" spans="2:21">
      <c r="B50" s="147" t="s">
        <v>141</v>
      </c>
      <c r="C50" s="148"/>
      <c r="D50" s="80">
        <v>46092</v>
      </c>
      <c r="E50" s="28"/>
      <c r="F50" s="27"/>
      <c r="G50" s="80"/>
      <c r="H50" s="81"/>
      <c r="I50" s="27"/>
      <c r="J50" s="25"/>
      <c r="K50" s="28"/>
      <c r="L50" s="27"/>
      <c r="M50" s="25"/>
      <c r="N50" s="28"/>
      <c r="O50" s="27"/>
      <c r="P50" s="25"/>
      <c r="Q50" s="28"/>
      <c r="R50" s="27"/>
      <c r="S50" s="25"/>
      <c r="T50" s="28"/>
      <c r="U50" s="27"/>
    </row>
    <row r="51" spans="2:21" ht="15.6">
      <c r="B51" s="11">
        <v>1</v>
      </c>
      <c r="C51" s="72" t="s">
        <v>137</v>
      </c>
      <c r="D51" s="11"/>
      <c r="E51" s="2" t="s">
        <v>72</v>
      </c>
      <c r="F51" s="12"/>
      <c r="G51" s="11"/>
      <c r="H51" s="2"/>
      <c r="I51" s="12"/>
      <c r="J51" s="11"/>
      <c r="K51" s="2"/>
      <c r="L51" s="12"/>
      <c r="M51" s="11"/>
      <c r="N51" s="2"/>
      <c r="O51" s="12"/>
      <c r="P51" s="11"/>
      <c r="Q51" s="2"/>
      <c r="R51" s="12"/>
      <c r="S51" s="11"/>
      <c r="T51" s="2"/>
      <c r="U51" s="12"/>
    </row>
    <row r="52" spans="2:21" ht="15.6">
      <c r="B52" s="11">
        <v>2</v>
      </c>
      <c r="C52" s="72" t="s">
        <v>139</v>
      </c>
      <c r="D52" s="11" t="s">
        <v>72</v>
      </c>
      <c r="E52" s="2"/>
      <c r="F52" s="12"/>
      <c r="G52" s="11"/>
      <c r="H52" s="2"/>
      <c r="I52" s="12"/>
      <c r="J52" s="11"/>
      <c r="K52" s="2"/>
      <c r="L52" s="12"/>
      <c r="M52" s="11"/>
      <c r="N52" s="2"/>
      <c r="O52" s="12"/>
      <c r="P52" s="11"/>
      <c r="Q52" s="2"/>
      <c r="R52" s="12"/>
      <c r="S52" s="11"/>
      <c r="T52" s="2"/>
      <c r="U52" s="12"/>
    </row>
    <row r="53" spans="2:21" ht="15.6">
      <c r="B53" s="11">
        <v>3</v>
      </c>
      <c r="C53" s="72" t="s">
        <v>166</v>
      </c>
      <c r="D53" s="11" t="s">
        <v>72</v>
      </c>
      <c r="E53" s="2"/>
      <c r="F53" s="12"/>
      <c r="G53" s="11"/>
      <c r="H53" s="2"/>
      <c r="I53" s="12"/>
      <c r="J53" s="11"/>
      <c r="K53" s="2"/>
      <c r="L53" s="12"/>
      <c r="M53" s="11"/>
      <c r="N53" s="2"/>
      <c r="O53" s="12"/>
      <c r="P53" s="11"/>
      <c r="Q53" s="2"/>
      <c r="R53" s="12"/>
      <c r="S53" s="11"/>
      <c r="T53" s="2"/>
      <c r="U53" s="12"/>
    </row>
    <row r="54" spans="2:21" ht="15.6">
      <c r="B54" s="11">
        <v>4</v>
      </c>
      <c r="C54" s="74" t="s">
        <v>167</v>
      </c>
      <c r="D54" s="11" t="s">
        <v>72</v>
      </c>
      <c r="E54" s="2"/>
      <c r="F54" s="12"/>
      <c r="G54" s="11"/>
      <c r="H54" s="2"/>
      <c r="I54" s="12"/>
      <c r="J54" s="11"/>
      <c r="K54" s="2"/>
      <c r="L54" s="12"/>
      <c r="M54" s="11"/>
      <c r="N54" s="2"/>
      <c r="O54" s="12"/>
      <c r="P54" s="11"/>
      <c r="Q54" s="2"/>
      <c r="R54" s="12"/>
      <c r="S54" s="11"/>
      <c r="T54" s="2"/>
      <c r="U54" s="12"/>
    </row>
    <row r="55" spans="2:21" ht="15.6">
      <c r="B55" s="11">
        <v>5</v>
      </c>
      <c r="C55" s="74" t="s">
        <v>168</v>
      </c>
      <c r="D55" s="11" t="s">
        <v>72</v>
      </c>
      <c r="E55" s="2"/>
      <c r="F55" s="12"/>
      <c r="G55" s="11"/>
      <c r="H55" s="2"/>
      <c r="I55" s="12"/>
      <c r="J55" s="11"/>
      <c r="K55" s="2"/>
      <c r="L55" s="12"/>
      <c r="M55" s="11"/>
      <c r="N55" s="2"/>
      <c r="O55" s="12"/>
      <c r="P55" s="11"/>
      <c r="Q55" s="2"/>
      <c r="R55" s="12"/>
      <c r="S55" s="11"/>
      <c r="T55" s="2"/>
      <c r="U55" s="12"/>
    </row>
    <row r="56" spans="2:21" ht="15.6">
      <c r="B56" s="11">
        <v>6</v>
      </c>
      <c r="C56" s="74" t="s">
        <v>169</v>
      </c>
      <c r="D56" s="11" t="s">
        <v>72</v>
      </c>
      <c r="E56" s="2"/>
      <c r="F56" s="12"/>
      <c r="G56" s="11"/>
      <c r="H56" s="2"/>
      <c r="I56" s="12"/>
      <c r="J56" s="11"/>
      <c r="K56" s="2"/>
      <c r="L56" s="12"/>
      <c r="M56" s="11"/>
      <c r="N56" s="2"/>
      <c r="O56" s="12"/>
      <c r="P56" s="11"/>
      <c r="Q56" s="2"/>
      <c r="R56" s="12"/>
      <c r="S56" s="11"/>
      <c r="T56" s="2"/>
      <c r="U56" s="12"/>
    </row>
    <row r="57" spans="2:21" ht="15.6">
      <c r="B57" s="11">
        <v>7</v>
      </c>
      <c r="C57" s="74" t="s">
        <v>170</v>
      </c>
      <c r="D57" s="11" t="s">
        <v>72</v>
      </c>
      <c r="E57" s="2"/>
      <c r="F57" s="12"/>
      <c r="G57" s="11"/>
      <c r="H57" s="2"/>
      <c r="I57" s="12"/>
      <c r="J57" s="11"/>
      <c r="K57" s="2"/>
      <c r="L57" s="12"/>
      <c r="M57" s="11"/>
      <c r="N57" s="2" t="s">
        <v>47</v>
      </c>
      <c r="O57" s="12"/>
      <c r="P57" s="11"/>
      <c r="Q57" s="2"/>
      <c r="R57" s="12"/>
      <c r="S57" s="11"/>
      <c r="T57" s="2"/>
      <c r="U57" s="12"/>
    </row>
    <row r="58" spans="2:21" ht="15.6">
      <c r="B58" s="11">
        <v>8</v>
      </c>
      <c r="C58" s="74" t="s">
        <v>171</v>
      </c>
      <c r="D58" s="11" t="s">
        <v>72</v>
      </c>
      <c r="E58" s="2"/>
      <c r="F58" s="12"/>
      <c r="G58" s="11"/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9</v>
      </c>
      <c r="C59" s="74" t="s">
        <v>138</v>
      </c>
      <c r="D59" s="11" t="s">
        <v>72</v>
      </c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10</v>
      </c>
      <c r="C60" s="74" t="s">
        <v>140</v>
      </c>
      <c r="D60" s="11"/>
      <c r="E60" s="2" t="s">
        <v>72</v>
      </c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>
      <c r="B61" s="142" t="s">
        <v>14</v>
      </c>
      <c r="C61" s="143"/>
      <c r="D61" s="144">
        <f>(COUNTIF(D51:D60, "X"))/((COUNTA($C$51:$C$60))-(COUNTA(F51:F60)))</f>
        <v>0.8</v>
      </c>
      <c r="E61" s="145"/>
      <c r="F61" s="146"/>
      <c r="G61" s="144">
        <f>(COUNTIF(G51:G60, "X"))/((COUNTA($C$51:$C$60))-(COUNTA(I51:I60)))</f>
        <v>0</v>
      </c>
      <c r="H61" s="145"/>
      <c r="I61" s="146"/>
      <c r="J61" s="144">
        <f>(COUNTIF(J51:J60, "X"))/((COUNTA($C$51:$C$60))-(COUNTA(L51:L60)))</f>
        <v>0</v>
      </c>
      <c r="K61" s="145"/>
      <c r="L61" s="146"/>
      <c r="M61" s="144">
        <f>(COUNTIF(M51:M60, "X"))/((COUNTA($C$51:$C$60))-(COUNTA(O51:O60)))</f>
        <v>0</v>
      </c>
      <c r="N61" s="145"/>
      <c r="O61" s="146"/>
      <c r="P61" s="144">
        <f>(COUNTIF(P51:P60, "X"))/((COUNTA($C$51:$C$60))-(COUNTA(R51:R60)))</f>
        <v>0</v>
      </c>
      <c r="Q61" s="145"/>
      <c r="R61" s="146"/>
      <c r="S61" s="144">
        <f>(COUNTIF(S51:S60, "X"))/((COUNTA($C$51:$C$60))-(COUNTA(U51:U60)))</f>
        <v>0</v>
      </c>
      <c r="T61" s="145"/>
      <c r="U61" s="146"/>
    </row>
    <row r="62" spans="2:21" ht="14.4" customHeight="1">
      <c r="B62" s="94" t="s">
        <v>188</v>
      </c>
      <c r="C62" s="94" t="s">
        <v>143</v>
      </c>
      <c r="D62" s="78"/>
      <c r="E62" s="5"/>
      <c r="F62" s="17"/>
      <c r="G62" s="16"/>
      <c r="H62" s="5"/>
      <c r="I62" s="17"/>
      <c r="J62" s="16"/>
      <c r="K62" s="5"/>
      <c r="L62" s="17"/>
      <c r="M62" s="16"/>
      <c r="N62" s="5"/>
      <c r="O62" s="17"/>
      <c r="P62" s="16"/>
      <c r="Q62" s="5"/>
      <c r="R62" s="17"/>
      <c r="S62" s="16"/>
      <c r="T62" s="5"/>
      <c r="U62" s="17"/>
    </row>
    <row r="63" spans="2:21" ht="15.6">
      <c r="B63" s="11">
        <v>1</v>
      </c>
      <c r="C63" s="72" t="s">
        <v>152</v>
      </c>
      <c r="D63" s="11"/>
      <c r="E63" s="2"/>
      <c r="F63" s="12"/>
      <c r="G63" s="11"/>
      <c r="H63" s="2"/>
      <c r="I63" s="12"/>
      <c r="J63" s="11"/>
      <c r="K63" s="2"/>
      <c r="L63" s="12"/>
      <c r="M63" s="11"/>
      <c r="N63" s="2"/>
      <c r="O63" s="12"/>
      <c r="P63" s="11"/>
      <c r="Q63" s="2"/>
      <c r="R63" s="12"/>
      <c r="S63" s="11"/>
      <c r="T63" s="2"/>
      <c r="U63" s="12"/>
    </row>
    <row r="64" spans="2:21" ht="15.6">
      <c r="B64" s="11">
        <v>2</v>
      </c>
      <c r="C64" s="72" t="s">
        <v>172</v>
      </c>
      <c r="D64" s="11"/>
      <c r="E64" s="2"/>
      <c r="F64" s="12"/>
      <c r="G64" s="11"/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3</v>
      </c>
      <c r="C65" s="72" t="s">
        <v>154</v>
      </c>
      <c r="D65" s="11"/>
      <c r="E65" s="2"/>
      <c r="F65" s="12"/>
      <c r="G65" s="11"/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4</v>
      </c>
      <c r="C66" s="72" t="s">
        <v>159</v>
      </c>
      <c r="D66" s="11"/>
      <c r="E66" s="23"/>
      <c r="F66" s="24"/>
      <c r="G66" s="22"/>
      <c r="H66" s="23"/>
      <c r="I66" s="24"/>
      <c r="J66" s="22"/>
      <c r="K66" s="23"/>
      <c r="L66" s="24"/>
      <c r="M66" s="22"/>
      <c r="N66" s="23"/>
      <c r="O66" s="24"/>
      <c r="P66" s="22"/>
      <c r="Q66" s="23"/>
      <c r="R66" s="24"/>
      <c r="S66" s="22"/>
      <c r="T66" s="23"/>
      <c r="U66" s="24"/>
    </row>
    <row r="67" spans="2:21" ht="15.6">
      <c r="B67" s="11">
        <v>5</v>
      </c>
      <c r="C67" s="72" t="s">
        <v>163</v>
      </c>
      <c r="D67" s="11"/>
      <c r="E67" s="23"/>
      <c r="F67" s="24"/>
      <c r="G67" s="22"/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6</v>
      </c>
      <c r="C68" s="72" t="s">
        <v>173</v>
      </c>
      <c r="D68" s="11"/>
      <c r="E68" s="23"/>
      <c r="F68" s="24"/>
      <c r="G68" s="22"/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7</v>
      </c>
      <c r="C69" s="72" t="s">
        <v>174</v>
      </c>
      <c r="D69" s="11"/>
      <c r="E69" s="92"/>
      <c r="F69" s="24"/>
      <c r="G69" s="22"/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8</v>
      </c>
      <c r="C70" s="72" t="s">
        <v>175</v>
      </c>
      <c r="D70" s="11"/>
      <c r="E70" s="23"/>
      <c r="F70" s="24"/>
      <c r="G70" s="22"/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9</v>
      </c>
      <c r="C71" s="72" t="s">
        <v>153</v>
      </c>
      <c r="D71" s="11"/>
      <c r="E71" s="92"/>
      <c r="F71" s="24"/>
      <c r="G71" s="22"/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10</v>
      </c>
      <c r="C72" s="72" t="s">
        <v>176</v>
      </c>
      <c r="D72" s="11"/>
      <c r="E72" s="23"/>
      <c r="F72" s="24"/>
      <c r="G72" s="22"/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11</v>
      </c>
      <c r="C73" s="72" t="s">
        <v>155</v>
      </c>
      <c r="D73" s="11"/>
      <c r="E73" s="23"/>
      <c r="F73" s="24"/>
      <c r="G73" s="22"/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177</v>
      </c>
      <c r="D74" s="11"/>
      <c r="E74" s="23"/>
      <c r="F74" s="24"/>
      <c r="G74" s="22"/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6.2" thickBot="1">
      <c r="B75" s="11">
        <v>13</v>
      </c>
      <c r="C75" s="72" t="s">
        <v>160</v>
      </c>
      <c r="D75" s="11"/>
      <c r="E75" s="23"/>
      <c r="F75" s="24"/>
      <c r="G75" s="22"/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>
      <c r="B76" s="142" t="s">
        <v>14</v>
      </c>
      <c r="C76" s="143"/>
      <c r="D76" s="149">
        <f>(COUNTIF(D63:D75, "X"))/((COUNTA($C$63:$C$75))-(COUNTA(F63:F75)))</f>
        <v>0</v>
      </c>
      <c r="E76" s="150"/>
      <c r="F76" s="151"/>
      <c r="G76" s="149">
        <f>(COUNTIF(G63:G75, "X"))/((COUNTA($C$63:$C$72))-(COUNTA(I63:I75)))</f>
        <v>0</v>
      </c>
      <c r="H76" s="150"/>
      <c r="I76" s="151"/>
      <c r="J76" s="149">
        <f>(COUNTIF(J63:J75, "X"))/((COUNTA($C$63:$C$72))-(COUNTA(L63:L75)))</f>
        <v>0</v>
      </c>
      <c r="K76" s="150"/>
      <c r="L76" s="151"/>
      <c r="M76" s="149">
        <f>(COUNTIF(M63:M75, "X"))/((COUNTA($C$63:$C$72))-(COUNTA(O63:O75)))</f>
        <v>0</v>
      </c>
      <c r="N76" s="150"/>
      <c r="O76" s="151"/>
      <c r="P76" s="149">
        <f>(COUNTIF(P63:P75, "X"))/((COUNTA($C$63:$C$72))-(COUNTA(R63:R75)))</f>
        <v>0</v>
      </c>
      <c r="Q76" s="150"/>
      <c r="R76" s="151"/>
      <c r="S76" s="149">
        <f>(COUNTIF(S63:S75, "X"))/((COUNTA($C$63:$C$72))-(COUNTA(U63:U75)))</f>
        <v>0</v>
      </c>
      <c r="T76" s="150"/>
      <c r="U76" s="151"/>
    </row>
    <row r="77" spans="2:21" ht="15" customHeight="1" thickBot="1">
      <c r="B77" s="94" t="s">
        <v>188</v>
      </c>
      <c r="C77" s="94" t="s">
        <v>144</v>
      </c>
      <c r="D77" s="98">
        <v>46107</v>
      </c>
      <c r="E77" s="33"/>
      <c r="F77" s="34"/>
      <c r="G77" s="32"/>
      <c r="H77" s="33"/>
      <c r="I77" s="34"/>
      <c r="J77" s="32"/>
      <c r="K77" s="33"/>
      <c r="L77" s="34"/>
      <c r="M77" s="32"/>
      <c r="N77" s="33"/>
      <c r="O77" s="34"/>
      <c r="P77" s="32"/>
      <c r="Q77" s="33"/>
      <c r="R77" s="34"/>
      <c r="S77" s="32"/>
      <c r="T77" s="33"/>
      <c r="U77" s="34"/>
    </row>
    <row r="78" spans="2:21" ht="15.6">
      <c r="B78" s="11">
        <v>1</v>
      </c>
      <c r="C78" s="72" t="s">
        <v>156</v>
      </c>
      <c r="D78" s="29"/>
      <c r="E78" s="30" t="s">
        <v>72</v>
      </c>
      <c r="F78" s="31"/>
      <c r="G78" s="29"/>
      <c r="H78" s="30"/>
      <c r="I78" s="31"/>
      <c r="J78" s="29"/>
      <c r="K78" s="30"/>
      <c r="L78" s="31"/>
      <c r="M78" s="29"/>
      <c r="N78" s="30"/>
      <c r="O78" s="31"/>
      <c r="P78" s="29"/>
      <c r="Q78" s="30"/>
      <c r="R78" s="31"/>
      <c r="S78" s="29"/>
      <c r="T78" s="30"/>
      <c r="U78" s="31"/>
    </row>
    <row r="79" spans="2:21" ht="15.6">
      <c r="B79" s="11">
        <v>2</v>
      </c>
      <c r="C79" s="72" t="s">
        <v>157</v>
      </c>
      <c r="D79" s="29" t="s">
        <v>72</v>
      </c>
      <c r="E79" s="2"/>
      <c r="F79" s="12"/>
      <c r="G79" s="11"/>
      <c r="H79" s="2"/>
      <c r="I79" s="12"/>
      <c r="J79" s="11"/>
      <c r="K79" s="2"/>
      <c r="L79" s="12"/>
      <c r="M79" s="11"/>
      <c r="N79" s="2"/>
      <c r="O79" s="12"/>
      <c r="P79" s="11"/>
      <c r="Q79" s="2"/>
      <c r="R79" s="12"/>
      <c r="S79" s="11"/>
      <c r="T79" s="2"/>
      <c r="U79" s="12"/>
    </row>
    <row r="80" spans="2:21" ht="15.6">
      <c r="B80" s="11">
        <v>3</v>
      </c>
      <c r="C80" s="72" t="s">
        <v>173</v>
      </c>
      <c r="D80" s="29" t="s">
        <v>72</v>
      </c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4</v>
      </c>
      <c r="C81" s="72" t="s">
        <v>178</v>
      </c>
      <c r="D81" s="29" t="s">
        <v>72</v>
      </c>
      <c r="E81" s="23"/>
      <c r="F81" s="24"/>
      <c r="G81" s="22"/>
      <c r="H81" s="23"/>
      <c r="I81" s="24"/>
      <c r="J81" s="22"/>
      <c r="K81" s="23"/>
      <c r="L81" s="24"/>
      <c r="M81" s="22"/>
      <c r="N81" s="23"/>
      <c r="O81" s="24"/>
      <c r="P81" s="22"/>
      <c r="Q81" s="23"/>
      <c r="R81" s="24"/>
      <c r="S81" s="22"/>
      <c r="T81" s="23"/>
      <c r="U81" s="24"/>
    </row>
    <row r="82" spans="2:21" ht="15.6">
      <c r="B82" s="11">
        <v>5</v>
      </c>
      <c r="C82" s="72" t="s">
        <v>179</v>
      </c>
      <c r="D82" s="29" t="s">
        <v>72</v>
      </c>
      <c r="E82" s="2"/>
      <c r="F82" s="12"/>
      <c r="G82" s="11"/>
      <c r="H82" s="2"/>
      <c r="I82" s="12"/>
      <c r="J82" s="11"/>
      <c r="K82" s="2"/>
      <c r="L82" s="12"/>
      <c r="M82" s="11"/>
      <c r="N82" s="2"/>
      <c r="O82" s="12"/>
      <c r="P82" s="11"/>
      <c r="Q82" s="2"/>
      <c r="R82" s="12"/>
      <c r="S82" s="11"/>
      <c r="T82" s="2"/>
      <c r="U82" s="12"/>
    </row>
    <row r="83" spans="2:21" ht="15.6">
      <c r="B83" s="11">
        <v>6</v>
      </c>
      <c r="C83" s="72" t="s">
        <v>158</v>
      </c>
      <c r="D83" s="29" t="s">
        <v>72</v>
      </c>
      <c r="E83" s="2"/>
      <c r="F83" s="12"/>
      <c r="G83" s="11"/>
      <c r="H83" s="2"/>
      <c r="I83" s="12"/>
      <c r="J83" s="11"/>
      <c r="K83" s="2"/>
      <c r="L83" s="12"/>
      <c r="M83" s="11"/>
      <c r="N83" s="2"/>
      <c r="O83" s="12"/>
      <c r="P83" s="11"/>
      <c r="Q83" s="2"/>
      <c r="R83" s="12"/>
      <c r="S83" s="11"/>
      <c r="T83" s="2"/>
      <c r="U83" s="12"/>
    </row>
    <row r="84" spans="2:21" ht="15.6">
      <c r="B84" s="11">
        <v>7</v>
      </c>
      <c r="C84" s="72" t="s">
        <v>222</v>
      </c>
      <c r="D84" s="29" t="s">
        <v>72</v>
      </c>
      <c r="E84" s="2"/>
      <c r="F84" s="12"/>
      <c r="G84" s="11"/>
      <c r="H84" s="2"/>
      <c r="I84" s="12"/>
      <c r="J84" s="11"/>
      <c r="K84" s="2"/>
      <c r="L84" s="12"/>
      <c r="M84" s="11"/>
      <c r="N84" s="2"/>
      <c r="O84" s="12"/>
      <c r="P84" s="11"/>
      <c r="Q84" s="2"/>
      <c r="R84" s="12"/>
      <c r="S84" s="11"/>
      <c r="T84" s="2"/>
      <c r="U84" s="12"/>
    </row>
    <row r="85" spans="2:21" ht="15.6">
      <c r="B85" s="11">
        <v>8</v>
      </c>
      <c r="C85" s="72" t="s">
        <v>181</v>
      </c>
      <c r="D85" s="29" t="s">
        <v>72</v>
      </c>
      <c r="E85" s="2"/>
      <c r="F85" s="12"/>
      <c r="G85" s="11"/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9</v>
      </c>
      <c r="C86" s="72" t="s">
        <v>213</v>
      </c>
      <c r="D86" s="29" t="s">
        <v>72</v>
      </c>
      <c r="E86" s="2"/>
      <c r="F86" s="12"/>
      <c r="G86" s="11"/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10</v>
      </c>
      <c r="C87" s="72" t="s">
        <v>214</v>
      </c>
      <c r="D87" s="29"/>
      <c r="E87" s="2" t="s">
        <v>72</v>
      </c>
      <c r="F87" s="12"/>
      <c r="G87" s="11"/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11</v>
      </c>
      <c r="C88" s="72" t="s">
        <v>162</v>
      </c>
      <c r="D88" s="29" t="s">
        <v>72</v>
      </c>
      <c r="E88" s="2"/>
      <c r="F88" s="12"/>
      <c r="G88" s="11"/>
      <c r="H88" s="2"/>
      <c r="I88" s="12"/>
      <c r="J88" s="11"/>
      <c r="K88" s="2"/>
      <c r="L88" s="12">
        <v>0</v>
      </c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12</v>
      </c>
      <c r="C89" s="72" t="s">
        <v>215</v>
      </c>
      <c r="D89" s="29" t="s">
        <v>72</v>
      </c>
      <c r="E89" s="2"/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13</v>
      </c>
      <c r="C90" s="72" t="s">
        <v>218</v>
      </c>
      <c r="D90" s="29" t="s">
        <v>72</v>
      </c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14</v>
      </c>
      <c r="C91" s="72" t="s">
        <v>216</v>
      </c>
      <c r="D91" s="29"/>
      <c r="E91" s="2"/>
      <c r="F91" s="12" t="s">
        <v>72</v>
      </c>
      <c r="G91" s="11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15</v>
      </c>
      <c r="C92" s="72" t="s">
        <v>217</v>
      </c>
      <c r="D92" s="29" t="s">
        <v>72</v>
      </c>
      <c r="E92" s="2"/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16</v>
      </c>
      <c r="C93" s="72" t="s">
        <v>204</v>
      </c>
      <c r="D93" s="29"/>
      <c r="E93" s="23" t="s">
        <v>72</v>
      </c>
      <c r="F93" s="24"/>
      <c r="G93" s="22"/>
      <c r="H93" s="23"/>
      <c r="I93" s="24"/>
      <c r="J93" s="22"/>
      <c r="K93" s="23"/>
      <c r="L93" s="24"/>
      <c r="M93" s="22"/>
      <c r="N93" s="23"/>
      <c r="O93" s="24"/>
      <c r="P93" s="22"/>
      <c r="Q93" s="23"/>
      <c r="R93" s="24"/>
      <c r="S93" s="22"/>
      <c r="T93" s="23"/>
      <c r="U93" s="24"/>
    </row>
    <row r="94" spans="2:21" ht="15.6">
      <c r="B94" s="11">
        <v>17</v>
      </c>
      <c r="C94" s="72" t="s">
        <v>221</v>
      </c>
      <c r="D94" s="29" t="s">
        <v>72</v>
      </c>
      <c r="E94" s="23"/>
      <c r="F94" s="24"/>
      <c r="G94" s="22"/>
      <c r="H94" s="23"/>
      <c r="I94" s="24"/>
      <c r="J94" s="22"/>
      <c r="K94" s="23"/>
      <c r="L94" s="24"/>
      <c r="M94" s="22"/>
      <c r="N94" s="23"/>
      <c r="O94" s="24"/>
      <c r="P94" s="22"/>
      <c r="Q94" s="23"/>
      <c r="R94" s="24"/>
      <c r="S94" s="22"/>
      <c r="T94" s="23"/>
      <c r="U94" s="24"/>
    </row>
    <row r="95" spans="2:21" ht="16.2" thickBot="1">
      <c r="B95" s="11">
        <v>18</v>
      </c>
      <c r="C95" s="72" t="s">
        <v>220</v>
      </c>
      <c r="D95" s="29"/>
      <c r="E95" s="23" t="s">
        <v>72</v>
      </c>
      <c r="F95" s="24"/>
      <c r="G95" s="22"/>
      <c r="H95" s="23"/>
      <c r="I95" s="24"/>
      <c r="J95" s="22"/>
      <c r="K95" s="23"/>
      <c r="L95" s="24"/>
      <c r="M95" s="22"/>
      <c r="N95" s="23"/>
      <c r="O95" s="24"/>
      <c r="P95" s="22"/>
      <c r="Q95" s="23"/>
      <c r="R95" s="24"/>
      <c r="S95" s="22"/>
      <c r="T95" s="23"/>
      <c r="U95" s="24"/>
    </row>
    <row r="96" spans="2:21" ht="15" thickBot="1">
      <c r="B96" s="142" t="s">
        <v>14</v>
      </c>
      <c r="C96" s="143"/>
      <c r="D96" s="137">
        <f>(COUNTIF(D78:D95, "X"))/((COUNTA($C$78:$C$95))-(COUNTA(F78:F95)))</f>
        <v>0.76470588235294112</v>
      </c>
      <c r="E96" s="138"/>
      <c r="F96" s="139"/>
      <c r="G96" s="137">
        <f>(COUNTIF(G82:G95, "X"))/((COUNTA($C$82:$C$95))-(COUNTA(I82:I95)))</f>
        <v>0</v>
      </c>
      <c r="H96" s="138"/>
      <c r="I96" s="139"/>
      <c r="J96" s="137">
        <f>(COUNTIF(J82:J95, "X"))/((COUNTA($C$19:$C$31))-(COUNTA(L82:L95)))</f>
        <v>0</v>
      </c>
      <c r="K96" s="138"/>
      <c r="L96" s="139"/>
      <c r="M96" s="137">
        <f>(COUNTIF(M82:M95, "X"))/((COUNTA($C$19:$C$31))-(COUNTA(O82:O95)))</f>
        <v>0</v>
      </c>
      <c r="N96" s="138"/>
      <c r="O96" s="139"/>
      <c r="P96" s="137">
        <f>(COUNTIF(P82:P95, "X"))/((COUNTA($C$19:$C$31))-(COUNTA(R82:R95)))</f>
        <v>0</v>
      </c>
      <c r="Q96" s="138"/>
      <c r="R96" s="139"/>
      <c r="S96" s="137">
        <f>(COUNTIF(S82:S95, "X"))/((COUNTA($C$19:$C$31))-(COUNTA(U82:U95)))</f>
        <v>0</v>
      </c>
      <c r="T96" s="138"/>
      <c r="U96" s="139"/>
    </row>
    <row r="97" spans="2:21">
      <c r="B97" s="147"/>
      <c r="C97" s="148"/>
      <c r="D97" s="16"/>
      <c r="E97" s="5"/>
      <c r="F97" s="17"/>
      <c r="G97" s="16"/>
      <c r="H97" s="5"/>
      <c r="I97" s="17"/>
      <c r="J97" s="16"/>
      <c r="K97" s="5"/>
      <c r="L97" s="17"/>
      <c r="M97" s="16"/>
      <c r="N97" s="5"/>
      <c r="O97" s="17"/>
      <c r="P97" s="16"/>
      <c r="Q97" s="5"/>
      <c r="R97" s="17"/>
      <c r="S97" s="16"/>
      <c r="T97" s="5"/>
      <c r="U97" s="17"/>
    </row>
    <row r="98" spans="2:21" ht="15.6">
      <c r="B98" s="11">
        <v>1</v>
      </c>
      <c r="C98" s="72"/>
      <c r="D98" s="11"/>
      <c r="E98" s="2"/>
      <c r="F98" s="12"/>
      <c r="G98" s="11"/>
      <c r="H98" s="2"/>
      <c r="I98" s="12"/>
      <c r="J98" s="11"/>
      <c r="K98" s="2"/>
      <c r="L98" s="12"/>
      <c r="M98" s="11"/>
      <c r="N98" s="2"/>
      <c r="O98" s="12"/>
      <c r="P98" s="11"/>
      <c r="Q98" s="2"/>
      <c r="R98" s="12"/>
      <c r="S98" s="11"/>
      <c r="T98" s="2"/>
      <c r="U98" s="12"/>
    </row>
    <row r="99" spans="2:21" ht="15.6">
      <c r="B99" s="11">
        <v>2</v>
      </c>
      <c r="C99" s="72"/>
      <c r="D99" s="11"/>
      <c r="E99" s="2"/>
      <c r="F99" s="12"/>
      <c r="G99" s="11"/>
      <c r="H99" s="2"/>
      <c r="I99" s="12"/>
      <c r="J99" s="11"/>
      <c r="K99" s="2"/>
      <c r="L99" s="12"/>
      <c r="M99" s="11"/>
      <c r="N99" s="2"/>
      <c r="O99" s="12"/>
      <c r="P99" s="11"/>
      <c r="Q99" s="2"/>
      <c r="R99" s="12"/>
      <c r="S99" s="11"/>
      <c r="T99" s="2"/>
      <c r="U99" s="12"/>
    </row>
    <row r="100" spans="2:21" ht="15.6">
      <c r="B100" s="11">
        <v>3</v>
      </c>
      <c r="C100" s="72"/>
      <c r="D100" s="11"/>
      <c r="E100" s="2"/>
      <c r="F100" s="12"/>
      <c r="G100" s="11"/>
      <c r="H100" s="2"/>
      <c r="I100" s="12"/>
      <c r="J100" s="11"/>
      <c r="K100" s="2"/>
      <c r="L100" s="12"/>
      <c r="M100" s="11"/>
      <c r="N100" s="2"/>
      <c r="O100" s="12"/>
      <c r="P100" s="11"/>
      <c r="Q100" s="2"/>
      <c r="R100" s="12"/>
      <c r="S100" s="11"/>
      <c r="T100" s="2"/>
      <c r="U100" s="12"/>
    </row>
    <row r="101" spans="2:21" ht="15.6">
      <c r="B101" s="11">
        <v>4</v>
      </c>
      <c r="C101" s="74"/>
      <c r="D101" s="22"/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.6">
      <c r="B102" s="11">
        <v>5</v>
      </c>
      <c r="C102" s="74"/>
      <c r="D102" s="22"/>
      <c r="E102" s="23"/>
      <c r="F102" s="24"/>
      <c r="G102" s="22"/>
      <c r="H102" s="23"/>
      <c r="I102" s="24"/>
      <c r="J102" s="22"/>
      <c r="K102" s="23"/>
      <c r="L102" s="24"/>
      <c r="M102" s="22"/>
      <c r="N102" s="23"/>
      <c r="O102" s="24"/>
      <c r="P102" s="22"/>
      <c r="Q102" s="23"/>
      <c r="R102" s="24"/>
      <c r="S102" s="22"/>
      <c r="T102" s="23"/>
      <c r="U102" s="24"/>
    </row>
    <row r="103" spans="2:21" ht="15.6">
      <c r="B103" s="11">
        <v>6</v>
      </c>
      <c r="C103" s="74"/>
      <c r="D103" s="22"/>
      <c r="E103" s="23"/>
      <c r="F103" s="24"/>
      <c r="G103" s="22"/>
      <c r="H103" s="23"/>
      <c r="I103" s="24"/>
      <c r="J103" s="22"/>
      <c r="K103" s="23"/>
      <c r="L103" s="24"/>
      <c r="M103" s="22"/>
      <c r="N103" s="23"/>
      <c r="O103" s="24"/>
      <c r="P103" s="22"/>
      <c r="Q103" s="23"/>
      <c r="R103" s="24"/>
      <c r="S103" s="22"/>
      <c r="T103" s="23"/>
      <c r="U103" s="24"/>
    </row>
    <row r="104" spans="2:21" ht="15.6">
      <c r="B104" s="11">
        <v>7</v>
      </c>
      <c r="C104" s="74"/>
      <c r="D104" s="22"/>
      <c r="E104" s="23"/>
      <c r="F104" s="24"/>
      <c r="G104" s="22"/>
      <c r="H104" s="23"/>
      <c r="I104" s="24"/>
      <c r="J104" s="22"/>
      <c r="K104" s="23"/>
      <c r="L104" s="24"/>
      <c r="M104" s="22"/>
      <c r="N104" s="23"/>
      <c r="O104" s="24"/>
      <c r="P104" s="22"/>
      <c r="Q104" s="23"/>
      <c r="R104" s="24"/>
      <c r="S104" s="22"/>
      <c r="T104" s="23"/>
      <c r="U104" s="24"/>
    </row>
    <row r="105" spans="2:21" ht="15.6">
      <c r="B105" s="11">
        <v>8</v>
      </c>
      <c r="C105" s="74"/>
      <c r="D105" s="22"/>
      <c r="E105" s="23"/>
      <c r="F105" s="24"/>
      <c r="G105" s="22"/>
      <c r="H105" s="23"/>
      <c r="I105" s="24"/>
      <c r="J105" s="22"/>
      <c r="K105" s="23"/>
      <c r="L105" s="24"/>
      <c r="M105" s="22"/>
      <c r="N105" s="23"/>
      <c r="O105" s="24"/>
      <c r="P105" s="22"/>
      <c r="Q105" s="23"/>
      <c r="R105" s="24"/>
      <c r="S105" s="22"/>
      <c r="T105" s="23"/>
      <c r="U105" s="24"/>
    </row>
    <row r="106" spans="2:21" ht="15.6">
      <c r="B106" s="11">
        <v>9</v>
      </c>
      <c r="C106" s="74"/>
      <c r="D106" s="22"/>
      <c r="E106" s="23"/>
      <c r="F106" s="24"/>
      <c r="G106" s="22"/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6.2" thickBot="1">
      <c r="B107" s="11">
        <v>10</v>
      </c>
      <c r="C107" s="74"/>
      <c r="D107" s="22"/>
      <c r="E107" s="23"/>
      <c r="F107" s="24"/>
      <c r="G107" s="22"/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>
      <c r="B108" s="142" t="s">
        <v>14</v>
      </c>
      <c r="C108" s="143"/>
      <c r="D108" s="149">
        <f>(COUNTIF(D98:D107, "X"))/((COUNTA($C$63:$C$72))-(COUNTA(F98:F107)))</f>
        <v>0</v>
      </c>
      <c r="E108" s="150"/>
      <c r="F108" s="151"/>
      <c r="G108" s="149">
        <f>(COUNTIF(G98:G107, "X"))/((COUNTA($C$63:$C$72))-(COUNTA(I98:I107)))</f>
        <v>0</v>
      </c>
      <c r="H108" s="150"/>
      <c r="I108" s="151"/>
      <c r="J108" s="149">
        <f>(COUNTIF(J98:J107, "X"))/((COUNTA($C$63:$C$72))-(COUNTA(L98:L107)))</f>
        <v>0</v>
      </c>
      <c r="K108" s="150"/>
      <c r="L108" s="151"/>
      <c r="M108" s="149">
        <f>(COUNTIF(M98:M107, "X"))/((COUNTA($C$63:$C$72))-(COUNTA(O98:O107)))</f>
        <v>0</v>
      </c>
      <c r="N108" s="150"/>
      <c r="O108" s="151"/>
      <c r="P108" s="149">
        <f>(COUNTIF(P98:P107, "X"))/((COUNTA($C$63:$C$72))-(COUNTA(R98:R107)))</f>
        <v>0</v>
      </c>
      <c r="Q108" s="150"/>
      <c r="R108" s="151"/>
      <c r="S108" s="149">
        <f>(COUNTIF(S98:S107, "X"))/((COUNTA($C$63:$C$72))-(COUNTA(U98:U107)))</f>
        <v>0</v>
      </c>
      <c r="T108" s="150"/>
      <c r="U108" s="151"/>
    </row>
    <row r="109" spans="2:21">
      <c r="B109" s="147" t="s">
        <v>129</v>
      </c>
      <c r="C109" s="148"/>
      <c r="D109" s="16"/>
      <c r="E109" s="5"/>
      <c r="F109" s="17"/>
      <c r="G109" s="16"/>
      <c r="H109" s="5"/>
      <c r="I109" s="17"/>
      <c r="J109" s="16"/>
      <c r="K109" s="5"/>
      <c r="L109" s="17"/>
      <c r="M109" s="16"/>
      <c r="N109" s="5"/>
      <c r="O109" s="17"/>
      <c r="P109" s="16"/>
      <c r="Q109" s="5"/>
      <c r="R109" s="17"/>
      <c r="S109" s="16"/>
      <c r="T109" s="5"/>
      <c r="U109" s="17"/>
    </row>
    <row r="110" spans="2:21" ht="15.6">
      <c r="B110" s="11">
        <v>1</v>
      </c>
      <c r="C110" s="72"/>
      <c r="D110" s="11"/>
      <c r="E110" s="2"/>
      <c r="F110" s="12"/>
      <c r="G110" s="11"/>
      <c r="H110" s="2"/>
      <c r="I110" s="12"/>
      <c r="J110" s="11"/>
      <c r="K110" s="2"/>
      <c r="L110" s="12"/>
      <c r="M110" s="11"/>
      <c r="N110" s="2"/>
      <c r="O110" s="12"/>
      <c r="P110" s="11"/>
      <c r="Q110" s="2"/>
      <c r="R110" s="12"/>
      <c r="S110" s="11"/>
      <c r="T110" s="2"/>
      <c r="U110" s="12"/>
    </row>
    <row r="111" spans="2:21" ht="15.6">
      <c r="B111" s="11">
        <v>2</v>
      </c>
      <c r="C111" s="72"/>
      <c r="D111" s="11"/>
      <c r="E111" s="2"/>
      <c r="F111" s="12"/>
      <c r="G111" s="11"/>
      <c r="H111" s="2"/>
      <c r="I111" s="12"/>
      <c r="J111" s="11"/>
      <c r="K111" s="2"/>
      <c r="L111" s="12"/>
      <c r="M111" s="11"/>
      <c r="N111" s="2"/>
      <c r="O111" s="12"/>
      <c r="P111" s="11"/>
      <c r="Q111" s="2"/>
      <c r="R111" s="12"/>
      <c r="S111" s="11"/>
      <c r="T111" s="2"/>
      <c r="U111" s="12"/>
    </row>
    <row r="112" spans="2:21" ht="15.6">
      <c r="B112" s="11">
        <v>3</v>
      </c>
      <c r="C112" s="72"/>
      <c r="D112" s="11"/>
      <c r="E112" s="2"/>
      <c r="F112" s="12"/>
      <c r="G112" s="11"/>
      <c r="H112" s="2"/>
      <c r="I112" s="12"/>
      <c r="J112" s="11"/>
      <c r="K112" s="2"/>
      <c r="L112" s="12"/>
      <c r="M112" s="11"/>
      <c r="N112" s="2"/>
      <c r="O112" s="12"/>
      <c r="P112" s="11"/>
      <c r="Q112" s="2"/>
      <c r="R112" s="12"/>
      <c r="S112" s="11"/>
      <c r="T112" s="2"/>
      <c r="U112" s="12"/>
    </row>
    <row r="113" spans="2:21" ht="15.6">
      <c r="B113" s="11">
        <v>4</v>
      </c>
      <c r="C113" s="74"/>
      <c r="D113" s="22"/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5</v>
      </c>
      <c r="C114" s="74"/>
      <c r="D114" s="22"/>
      <c r="E114" s="23"/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6</v>
      </c>
      <c r="C115" s="74"/>
      <c r="D115" s="22"/>
      <c r="E115" s="23"/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5.6">
      <c r="B116" s="11">
        <v>7</v>
      </c>
      <c r="C116" s="74"/>
      <c r="D116" s="22"/>
      <c r="E116" s="23"/>
      <c r="F116" s="24"/>
      <c r="G116" s="22"/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 ht="15.6">
      <c r="B117" s="11">
        <v>8</v>
      </c>
      <c r="C117" s="74"/>
      <c r="D117" s="22"/>
      <c r="E117" s="23"/>
      <c r="F117" s="24"/>
      <c r="G117" s="22"/>
      <c r="H117" s="23"/>
      <c r="I117" s="24"/>
      <c r="J117" s="22"/>
      <c r="K117" s="23"/>
      <c r="L117" s="24"/>
      <c r="M117" s="22"/>
      <c r="N117" s="23"/>
      <c r="O117" s="24"/>
      <c r="P117" s="22"/>
      <c r="Q117" s="23"/>
      <c r="R117" s="24"/>
      <c r="S117" s="22"/>
      <c r="T117" s="23"/>
      <c r="U117" s="24"/>
    </row>
    <row r="118" spans="2:21" ht="15.6">
      <c r="B118" s="11">
        <v>9</v>
      </c>
      <c r="C118" s="74"/>
      <c r="D118" s="22"/>
      <c r="E118" s="23"/>
      <c r="F118" s="24"/>
      <c r="G118" s="22"/>
      <c r="H118" s="23"/>
      <c r="I118" s="24"/>
      <c r="J118" s="22"/>
      <c r="K118" s="23"/>
      <c r="L118" s="24"/>
      <c r="M118" s="22"/>
      <c r="N118" s="23"/>
      <c r="O118" s="24"/>
      <c r="P118" s="22"/>
      <c r="Q118" s="23"/>
      <c r="R118" s="24"/>
      <c r="S118" s="22"/>
      <c r="T118" s="23"/>
      <c r="U118" s="24"/>
    </row>
    <row r="119" spans="2:21" ht="16.2" thickBot="1">
      <c r="B119" s="11">
        <v>10</v>
      </c>
      <c r="C119" s="74"/>
      <c r="D119" s="22"/>
      <c r="E119" s="23"/>
      <c r="F119" s="24"/>
      <c r="G119" s="22"/>
      <c r="H119" s="23"/>
      <c r="I119" s="24"/>
      <c r="J119" s="22"/>
      <c r="K119" s="23"/>
      <c r="L119" s="24"/>
      <c r="M119" s="22"/>
      <c r="N119" s="23"/>
      <c r="O119" s="24"/>
      <c r="P119" s="22"/>
      <c r="Q119" s="23"/>
      <c r="R119" s="24"/>
      <c r="S119" s="22"/>
      <c r="T119" s="23"/>
      <c r="U119" s="24"/>
    </row>
    <row r="120" spans="2:21">
      <c r="B120" s="142" t="s">
        <v>14</v>
      </c>
      <c r="C120" s="143"/>
      <c r="D120" s="149">
        <f>(COUNTIF(D110:D119, "X"))/((COUNTA($C$63:$C$72))-(COUNTA(F110:F119)))</f>
        <v>0</v>
      </c>
      <c r="E120" s="150"/>
      <c r="F120" s="151"/>
      <c r="G120" s="149">
        <f>(COUNTIF(G110:G119, "X"))/((COUNTA($C$63:$C$72))-(COUNTA(I110:I119)))</f>
        <v>0</v>
      </c>
      <c r="H120" s="150"/>
      <c r="I120" s="151"/>
      <c r="J120" s="149">
        <f>(COUNTIF(J110:J119, "X"))/((COUNTA($C$63:$C$72))-(COUNTA(L110:L119)))</f>
        <v>0</v>
      </c>
      <c r="K120" s="150"/>
      <c r="L120" s="151"/>
      <c r="M120" s="149">
        <f>(COUNTIF(M110:M119, "X"))/((COUNTA($C$63:$C$72))-(COUNTA(O110:O119)))</f>
        <v>0</v>
      </c>
      <c r="N120" s="150"/>
      <c r="O120" s="151"/>
      <c r="P120" s="149">
        <f>(COUNTIF(P110:P119, "X"))/((COUNTA($C$63:$C$72))-(COUNTA(R110:R119)))</f>
        <v>0</v>
      </c>
      <c r="Q120" s="150"/>
      <c r="R120" s="151"/>
      <c r="S120" s="149">
        <f>(COUNTIF(S110:S119, "X"))/((COUNTA($C$63:$C$72))-(COUNTA(U110:U119)))</f>
        <v>0</v>
      </c>
      <c r="T120" s="150"/>
      <c r="U120" s="151"/>
    </row>
  </sheetData>
  <mergeCells count="67">
    <mergeCell ref="P120:R120"/>
    <mergeCell ref="S120:U120"/>
    <mergeCell ref="B109:C109"/>
    <mergeCell ref="B120:C120"/>
    <mergeCell ref="D120:F120"/>
    <mergeCell ref="G120:I120"/>
    <mergeCell ref="J120:L120"/>
    <mergeCell ref="M120:O120"/>
    <mergeCell ref="S96:U96"/>
    <mergeCell ref="B97:C97"/>
    <mergeCell ref="B108:C108"/>
    <mergeCell ref="D108:F108"/>
    <mergeCell ref="G108:I108"/>
    <mergeCell ref="J108:L108"/>
    <mergeCell ref="M108:O108"/>
    <mergeCell ref="P108:R108"/>
    <mergeCell ref="S108:U108"/>
    <mergeCell ref="B96:C96"/>
    <mergeCell ref="D96:F96"/>
    <mergeCell ref="G96:I96"/>
    <mergeCell ref="J96:L96"/>
    <mergeCell ref="M96:O96"/>
    <mergeCell ref="P96:R96"/>
    <mergeCell ref="P61:R61"/>
    <mergeCell ref="S61:U61"/>
    <mergeCell ref="B76:C76"/>
    <mergeCell ref="D76:F76"/>
    <mergeCell ref="G76:I76"/>
    <mergeCell ref="J76:L76"/>
    <mergeCell ref="M76:O76"/>
    <mergeCell ref="P76:R76"/>
    <mergeCell ref="S76:U76"/>
    <mergeCell ref="M61:O61"/>
    <mergeCell ref="B50:C50"/>
    <mergeCell ref="B61:C61"/>
    <mergeCell ref="D61:F61"/>
    <mergeCell ref="G61:I61"/>
    <mergeCell ref="J61:L61"/>
    <mergeCell ref="S32:U32"/>
    <mergeCell ref="B49:C49"/>
    <mergeCell ref="D49:F49"/>
    <mergeCell ref="G49:I49"/>
    <mergeCell ref="J49:L49"/>
    <mergeCell ref="M49:O49"/>
    <mergeCell ref="P49:R49"/>
    <mergeCell ref="S49:U49"/>
    <mergeCell ref="B32:C32"/>
    <mergeCell ref="D32:F32"/>
    <mergeCell ref="G32:I32"/>
    <mergeCell ref="J32:L32"/>
    <mergeCell ref="M32:O32"/>
    <mergeCell ref="P32:R32"/>
    <mergeCell ref="S2:U3"/>
    <mergeCell ref="B4:C4"/>
    <mergeCell ref="B17:C17"/>
    <mergeCell ref="D17:F17"/>
    <mergeCell ref="G17:I17"/>
    <mergeCell ref="J17:L17"/>
    <mergeCell ref="M17:O17"/>
    <mergeCell ref="P17:R17"/>
    <mergeCell ref="S17:U17"/>
    <mergeCell ref="B2:C3"/>
    <mergeCell ref="E2:F3"/>
    <mergeCell ref="H2:I3"/>
    <mergeCell ref="K2:L3"/>
    <mergeCell ref="N2:O3"/>
    <mergeCell ref="Q2:R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5D23-3369-497C-A5D1-CBC91EA16604}">
  <dimension ref="B2:X117"/>
  <sheetViews>
    <sheetView zoomScale="91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39" sqref="G39"/>
    </sheetView>
  </sheetViews>
  <sheetFormatPr baseColWidth="10" defaultRowHeight="14.4"/>
  <cols>
    <col min="2" max="2" width="3.33203125" style="1" customWidth="1"/>
    <col min="3" max="3" width="58.44140625" bestFit="1" customWidth="1"/>
    <col min="4" max="4" width="11.109375" bestFit="1" customWidth="1"/>
    <col min="5" max="5" width="11.33203125" customWidth="1"/>
    <col min="6" max="6" width="15.44140625" customWidth="1"/>
    <col min="7" max="7" width="11.33203125" customWidth="1"/>
    <col min="8" max="8" width="10.77734375" customWidth="1"/>
    <col min="9" max="9" width="11" customWidth="1"/>
    <col min="10" max="10" width="10.77734375" bestFit="1" customWidth="1"/>
    <col min="11" max="11" width="8" bestFit="1" customWidth="1"/>
    <col min="12" max="12" width="8.6640625" customWidth="1"/>
    <col min="14" max="14" width="9.109375" customWidth="1"/>
    <col min="15" max="15" width="8.33203125" customWidth="1"/>
    <col min="16" max="21" width="8.6640625" customWidth="1"/>
  </cols>
  <sheetData>
    <row r="2" spans="2:24" ht="15" thickBot="1"/>
    <row r="3" spans="2:24">
      <c r="B3" s="117" t="s">
        <v>43</v>
      </c>
      <c r="C3" s="118"/>
      <c r="D3" s="64" t="s">
        <v>0</v>
      </c>
      <c r="E3" s="169">
        <v>46055</v>
      </c>
      <c r="F3" s="170"/>
      <c r="G3" s="64" t="s">
        <v>0</v>
      </c>
      <c r="H3" s="169">
        <v>46055</v>
      </c>
      <c r="I3" s="170"/>
      <c r="J3" s="64" t="s">
        <v>0</v>
      </c>
      <c r="K3" s="169">
        <f>H3+1</f>
        <v>46056</v>
      </c>
      <c r="L3" s="170"/>
      <c r="M3" s="64" t="s">
        <v>0</v>
      </c>
      <c r="N3" s="169">
        <f t="shared" ref="N3" si="0">K3+1</f>
        <v>46057</v>
      </c>
      <c r="O3" s="170"/>
      <c r="P3" s="64" t="s">
        <v>0</v>
      </c>
      <c r="Q3" s="169">
        <f t="shared" ref="Q3" si="1">N3+1</f>
        <v>46058</v>
      </c>
      <c r="R3" s="170"/>
      <c r="S3" s="158" t="s">
        <v>100</v>
      </c>
      <c r="T3" s="159"/>
      <c r="U3" s="160"/>
    </row>
    <row r="4" spans="2:24">
      <c r="B4" s="119"/>
      <c r="C4" s="120"/>
      <c r="D4" s="11" t="s">
        <v>1</v>
      </c>
      <c r="E4" s="171"/>
      <c r="F4" s="172"/>
      <c r="G4" s="11" t="s">
        <v>1</v>
      </c>
      <c r="H4" s="171">
        <v>45916</v>
      </c>
      <c r="I4" s="172"/>
      <c r="J4" s="11" t="s">
        <v>1</v>
      </c>
      <c r="K4" s="171">
        <v>45916</v>
      </c>
      <c r="L4" s="172"/>
      <c r="M4" s="11" t="s">
        <v>1</v>
      </c>
      <c r="N4" s="171">
        <v>45916</v>
      </c>
      <c r="O4" s="172"/>
      <c r="P4" s="11" t="s">
        <v>1</v>
      </c>
      <c r="Q4" s="171">
        <v>45916</v>
      </c>
      <c r="R4" s="172"/>
      <c r="S4" s="161"/>
      <c r="T4" s="162"/>
      <c r="U4" s="163"/>
    </row>
    <row r="5" spans="2:24" ht="28.8">
      <c r="B5" s="131"/>
      <c r="C5" s="132"/>
      <c r="D5" s="13" t="s">
        <v>2</v>
      </c>
      <c r="E5" s="3" t="s">
        <v>3</v>
      </c>
      <c r="F5" s="65" t="s">
        <v>4</v>
      </c>
      <c r="G5" s="13" t="s">
        <v>2</v>
      </c>
      <c r="H5" s="3" t="s">
        <v>3</v>
      </c>
      <c r="I5" s="65" t="s">
        <v>4</v>
      </c>
      <c r="J5" s="13" t="s">
        <v>2</v>
      </c>
      <c r="K5" s="3" t="s">
        <v>3</v>
      </c>
      <c r="L5" s="65" t="s">
        <v>4</v>
      </c>
      <c r="M5" s="13" t="s">
        <v>2</v>
      </c>
      <c r="N5" s="3" t="s">
        <v>3</v>
      </c>
      <c r="O5" s="65" t="s">
        <v>4</v>
      </c>
      <c r="P5" s="13" t="s">
        <v>2</v>
      </c>
      <c r="Q5" s="3" t="s">
        <v>3</v>
      </c>
      <c r="R5" s="65" t="s">
        <v>4</v>
      </c>
      <c r="S5" s="13" t="s">
        <v>2</v>
      </c>
      <c r="T5" s="3" t="s">
        <v>3</v>
      </c>
      <c r="U5" s="65" t="s">
        <v>4</v>
      </c>
    </row>
    <row r="6" spans="2:24">
      <c r="B6" s="14" t="s">
        <v>188</v>
      </c>
      <c r="C6" s="14" t="s">
        <v>89</v>
      </c>
      <c r="D6" s="79">
        <v>46118</v>
      </c>
      <c r="E6" s="4"/>
      <c r="F6" s="15"/>
      <c r="G6" s="79">
        <v>46133</v>
      </c>
      <c r="H6" s="4"/>
      <c r="I6" s="15"/>
      <c r="J6" s="79"/>
      <c r="K6" s="4"/>
      <c r="L6" s="15"/>
      <c r="M6" s="14"/>
      <c r="N6" s="4"/>
      <c r="O6" s="15"/>
      <c r="P6" s="14"/>
      <c r="Q6" s="4"/>
      <c r="R6" s="15"/>
      <c r="S6" s="14"/>
      <c r="T6" s="4"/>
      <c r="U6" s="15"/>
      <c r="W6" t="s">
        <v>101</v>
      </c>
      <c r="X6" s="75"/>
    </row>
    <row r="7" spans="2:24" ht="15.6">
      <c r="B7" s="84">
        <v>1</v>
      </c>
      <c r="C7" s="72" t="s">
        <v>77</v>
      </c>
      <c r="D7" s="84"/>
      <c r="E7" s="85" t="s">
        <v>72</v>
      </c>
      <c r="F7" s="89"/>
      <c r="G7" s="11"/>
      <c r="H7" s="2" t="s">
        <v>72</v>
      </c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  <c r="W7" t="s">
        <v>102</v>
      </c>
      <c r="X7" s="76"/>
    </row>
    <row r="8" spans="2:24" ht="15.6">
      <c r="B8" s="84">
        <v>2</v>
      </c>
      <c r="C8" s="72" t="s">
        <v>78</v>
      </c>
      <c r="D8" s="84" t="s">
        <v>72</v>
      </c>
      <c r="E8" s="85"/>
      <c r="F8" s="89"/>
      <c r="G8" s="11"/>
      <c r="H8" s="2" t="s">
        <v>72</v>
      </c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5.6">
      <c r="B9" s="84">
        <v>3</v>
      </c>
      <c r="C9" s="72" t="s">
        <v>79</v>
      </c>
      <c r="D9" s="105" t="s">
        <v>72</v>
      </c>
      <c r="E9" s="85"/>
      <c r="F9" s="89"/>
      <c r="G9" s="93" t="s">
        <v>72</v>
      </c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5.6">
      <c r="B10" s="84">
        <v>4</v>
      </c>
      <c r="C10" s="72" t="s">
        <v>80</v>
      </c>
      <c r="D10" s="84" t="s">
        <v>72</v>
      </c>
      <c r="E10" s="85"/>
      <c r="F10" s="89"/>
      <c r="G10" s="11" t="s">
        <v>72</v>
      </c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5.6">
      <c r="B11" s="84">
        <v>5</v>
      </c>
      <c r="C11" s="72" t="s">
        <v>189</v>
      </c>
      <c r="D11" s="84" t="s">
        <v>72</v>
      </c>
      <c r="E11" s="85"/>
      <c r="F11" s="89"/>
      <c r="G11" s="93"/>
      <c r="H11" s="2" t="s">
        <v>72</v>
      </c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5.6">
      <c r="B12" s="84">
        <v>6</v>
      </c>
      <c r="C12" s="72" t="s">
        <v>81</v>
      </c>
      <c r="D12" s="84" t="s">
        <v>72</v>
      </c>
      <c r="E12" s="85"/>
      <c r="F12" s="89"/>
      <c r="G12" s="11" t="s">
        <v>72</v>
      </c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5.6">
      <c r="B13" s="84">
        <v>7</v>
      </c>
      <c r="C13" s="72" t="s">
        <v>82</v>
      </c>
      <c r="D13" s="84" t="s">
        <v>72</v>
      </c>
      <c r="E13" s="85"/>
      <c r="F13" s="89"/>
      <c r="G13" s="93" t="s">
        <v>72</v>
      </c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  <c r="X13">
        <v>43</v>
      </c>
    </row>
    <row r="14" spans="2:24" ht="15.6">
      <c r="B14" s="84">
        <v>8</v>
      </c>
      <c r="C14" s="72" t="s">
        <v>190</v>
      </c>
      <c r="D14" s="84" t="s">
        <v>72</v>
      </c>
      <c r="E14" s="85"/>
      <c r="F14" s="89"/>
      <c r="G14" s="11" t="s">
        <v>72</v>
      </c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  <c r="X14">
        <v>64</v>
      </c>
    </row>
    <row r="15" spans="2:24" ht="15.6">
      <c r="B15" s="84">
        <v>9</v>
      </c>
      <c r="C15" s="72" t="s">
        <v>170</v>
      </c>
      <c r="D15" s="84" t="s">
        <v>72</v>
      </c>
      <c r="E15" s="85"/>
      <c r="F15" s="90"/>
      <c r="G15" s="11" t="s">
        <v>72</v>
      </c>
      <c r="H15" s="22"/>
      <c r="I15" s="12"/>
      <c r="J15" s="11"/>
      <c r="K15" s="2"/>
      <c r="L15" s="12"/>
      <c r="M15" s="11"/>
      <c r="N15" s="2"/>
      <c r="O15" s="12"/>
      <c r="P15" s="11"/>
      <c r="Q15" s="2"/>
      <c r="R15" s="12"/>
      <c r="S15" s="11"/>
      <c r="T15" s="2"/>
      <c r="U15" s="12"/>
    </row>
    <row r="16" spans="2:24" ht="15.6">
      <c r="B16" s="84">
        <v>10</v>
      </c>
      <c r="C16" s="72" t="s">
        <v>111</v>
      </c>
      <c r="D16" s="84" t="s">
        <v>72</v>
      </c>
      <c r="E16" s="87"/>
      <c r="F16" s="91"/>
      <c r="G16" s="106" t="s">
        <v>72</v>
      </c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5.6">
      <c r="B17" s="84">
        <v>11</v>
      </c>
      <c r="C17" s="72" t="s">
        <v>191</v>
      </c>
      <c r="D17" s="84" t="s">
        <v>72</v>
      </c>
      <c r="E17" s="87"/>
      <c r="F17" s="91"/>
      <c r="G17" s="22" t="s">
        <v>72</v>
      </c>
      <c r="H17" s="23"/>
      <c r="I17" s="24"/>
      <c r="J17" s="22"/>
      <c r="K17" s="23"/>
      <c r="L17" s="24"/>
      <c r="M17" s="22"/>
      <c r="N17" s="23"/>
      <c r="O17" s="24"/>
      <c r="P17" s="22"/>
      <c r="Q17" s="23"/>
      <c r="R17" s="24"/>
      <c r="S17" s="22"/>
      <c r="T17" s="23"/>
      <c r="U17" s="24"/>
    </row>
    <row r="18" spans="2:21" ht="15.6">
      <c r="B18" s="84">
        <v>12</v>
      </c>
      <c r="C18" s="72" t="s">
        <v>192</v>
      </c>
      <c r="D18" s="84"/>
      <c r="E18" s="87" t="s">
        <v>72</v>
      </c>
      <c r="F18" s="91"/>
      <c r="G18" s="22" t="s">
        <v>72</v>
      </c>
      <c r="H18" s="23"/>
      <c r="I18" s="24"/>
      <c r="J18" s="22"/>
      <c r="K18" s="23"/>
      <c r="L18" s="24"/>
      <c r="M18" s="22"/>
      <c r="N18" s="23"/>
      <c r="O18" s="24"/>
      <c r="P18" s="22"/>
      <c r="Q18" s="23"/>
      <c r="R18" s="24"/>
      <c r="S18" s="22"/>
      <c r="T18" s="23"/>
      <c r="U18" s="24"/>
    </row>
    <row r="19" spans="2:21" ht="15.6">
      <c r="B19" s="84">
        <v>13</v>
      </c>
      <c r="C19" s="72" t="s">
        <v>193</v>
      </c>
      <c r="D19" s="84" t="s">
        <v>72</v>
      </c>
      <c r="E19" s="87"/>
      <c r="F19" s="91"/>
      <c r="G19" s="22" t="s">
        <v>72</v>
      </c>
      <c r="H19" s="23"/>
      <c r="I19" s="24"/>
      <c r="J19" s="22"/>
      <c r="K19" s="23"/>
      <c r="L19" s="24"/>
      <c r="M19" s="22"/>
      <c r="N19" s="23"/>
      <c r="O19" s="24"/>
      <c r="P19" s="22"/>
      <c r="Q19" s="23"/>
      <c r="R19" s="24"/>
      <c r="S19" s="22"/>
      <c r="T19" s="23"/>
      <c r="U19" s="24"/>
    </row>
    <row r="20" spans="2:21" ht="16.2" thickBot="1">
      <c r="B20" s="84">
        <v>15</v>
      </c>
      <c r="C20" s="72" t="s">
        <v>184</v>
      </c>
      <c r="D20" s="84" t="s">
        <v>72</v>
      </c>
      <c r="E20" s="87"/>
      <c r="F20" s="91"/>
      <c r="G20" s="22" t="s">
        <v>72</v>
      </c>
      <c r="H20" s="23"/>
      <c r="I20" s="24"/>
      <c r="J20" s="22"/>
      <c r="K20" s="23"/>
      <c r="L20" s="24"/>
      <c r="M20" s="22"/>
      <c r="N20" s="23"/>
      <c r="O20" s="24"/>
      <c r="P20" s="22"/>
      <c r="Q20" s="23"/>
      <c r="R20" s="24"/>
      <c r="S20" s="22"/>
      <c r="T20" s="23"/>
      <c r="U20" s="24"/>
    </row>
    <row r="21" spans="2:21" ht="15" thickBot="1">
      <c r="B21" s="164" t="s">
        <v>14</v>
      </c>
      <c r="C21" s="165"/>
      <c r="D21" s="166">
        <f>(COUNTIF(D7:D20, "X"))/((COUNTA($C$7:$C$20))-(COUNTA(F7:F20)))</f>
        <v>0.8571428571428571</v>
      </c>
      <c r="E21" s="167"/>
      <c r="F21" s="168"/>
      <c r="G21" s="137">
        <f>(COUNTIF(G7:G20, "X"))/((COUNTA($C$7:$C$20))-(COUNTA(I7:I20)))</f>
        <v>0.7857142857142857</v>
      </c>
      <c r="H21" s="138"/>
      <c r="I21" s="139"/>
      <c r="J21" s="137">
        <f>(COUNTIF(J7:J20, "X"))/((COUNTA($C$7:$C$20))-(COUNTA(L7:L20)))</f>
        <v>0</v>
      </c>
      <c r="K21" s="138"/>
      <c r="L21" s="139"/>
      <c r="M21" s="137">
        <f>(COUNTIF(M7:M20, "X"))/((COUNTA($C$7:$C$20))-(COUNTA(O7:O20)))</f>
        <v>0</v>
      </c>
      <c r="N21" s="138"/>
      <c r="O21" s="139"/>
      <c r="P21" s="137">
        <f>(COUNTIF(P7:P20, "X"))/((COUNTA($C$7:$C$20))-(COUNTA(R7:R20)))</f>
        <v>0</v>
      </c>
      <c r="Q21" s="138"/>
      <c r="R21" s="139"/>
      <c r="S21" s="137">
        <f>(COUNTIF(S7:S20, "X"))/((COUNTA($C$7:$C$20))-(COUNTA(U7:U20)))</f>
        <v>0</v>
      </c>
      <c r="T21" s="138"/>
      <c r="U21" s="139"/>
    </row>
    <row r="22" spans="2:21">
      <c r="B22" s="96" t="s">
        <v>188</v>
      </c>
      <c r="C22" s="96" t="s">
        <v>48</v>
      </c>
      <c r="D22" s="88">
        <v>46123</v>
      </c>
      <c r="E22" s="83" t="s">
        <v>237</v>
      </c>
      <c r="F22" s="27"/>
      <c r="G22" s="80">
        <v>46138</v>
      </c>
      <c r="H22" s="26" t="s">
        <v>233</v>
      </c>
      <c r="I22" s="27"/>
      <c r="J22" s="25"/>
      <c r="K22" s="26"/>
      <c r="L22" s="27"/>
      <c r="M22" s="25"/>
      <c r="N22" s="26"/>
      <c r="O22" s="27"/>
      <c r="P22" s="25"/>
      <c r="Q22" s="26"/>
      <c r="R22" s="27"/>
      <c r="S22" s="25"/>
      <c r="T22" s="26"/>
      <c r="U22" s="27"/>
    </row>
    <row r="23" spans="2:21" ht="15.6">
      <c r="B23" s="84">
        <v>1</v>
      </c>
      <c r="C23" s="72" t="s">
        <v>83</v>
      </c>
      <c r="D23" s="84" t="s">
        <v>72</v>
      </c>
      <c r="E23" s="85"/>
      <c r="F23" s="12"/>
      <c r="G23" s="11" t="s">
        <v>72</v>
      </c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84">
        <v>2</v>
      </c>
      <c r="C24" s="72" t="s">
        <v>84</v>
      </c>
      <c r="D24" s="84" t="s">
        <v>72</v>
      </c>
      <c r="E24" s="85"/>
      <c r="F24" s="12"/>
      <c r="G24" s="11" t="s">
        <v>72</v>
      </c>
      <c r="H24" s="2"/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84">
        <v>3</v>
      </c>
      <c r="C25" s="72" t="s">
        <v>147</v>
      </c>
      <c r="D25" s="84" t="s">
        <v>72</v>
      </c>
      <c r="E25" s="85"/>
      <c r="F25" s="12"/>
      <c r="G25" s="11" t="s">
        <v>72</v>
      </c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84">
        <v>4</v>
      </c>
      <c r="C26" s="72" t="s">
        <v>148</v>
      </c>
      <c r="D26" s="84" t="s">
        <v>72</v>
      </c>
      <c r="E26" s="85"/>
      <c r="F26" s="12"/>
      <c r="G26" s="11" t="s">
        <v>72</v>
      </c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84">
        <v>5</v>
      </c>
      <c r="C27" s="72" t="s">
        <v>194</v>
      </c>
      <c r="D27" s="84" t="s">
        <v>72</v>
      </c>
      <c r="E27" s="85"/>
      <c r="F27" s="12"/>
      <c r="G27" s="11" t="s">
        <v>72</v>
      </c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84">
        <v>6</v>
      </c>
      <c r="C28" s="72" t="s">
        <v>85</v>
      </c>
      <c r="D28" s="84" t="s">
        <v>72</v>
      </c>
      <c r="E28" s="85"/>
      <c r="F28" s="12"/>
      <c r="G28" s="11" t="s">
        <v>72</v>
      </c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84">
        <v>7</v>
      </c>
      <c r="C29" s="72" t="s">
        <v>86</v>
      </c>
      <c r="D29" s="84" t="s">
        <v>72</v>
      </c>
      <c r="E29" s="85"/>
      <c r="F29" s="12"/>
      <c r="G29" s="93" t="s">
        <v>72</v>
      </c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84">
        <v>8</v>
      </c>
      <c r="C30" s="72" t="s">
        <v>87</v>
      </c>
      <c r="D30" s="84" t="s">
        <v>72</v>
      </c>
      <c r="E30" s="85"/>
      <c r="F30" s="12"/>
      <c r="G30" s="11" t="s">
        <v>72</v>
      </c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5.6">
      <c r="B31" s="84">
        <v>9</v>
      </c>
      <c r="C31" s="72" t="s">
        <v>88</v>
      </c>
      <c r="D31" s="84" t="s">
        <v>72</v>
      </c>
      <c r="E31" s="85"/>
      <c r="F31" s="12"/>
      <c r="G31" s="11" t="s">
        <v>72</v>
      </c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.6">
      <c r="B32" s="84">
        <v>10</v>
      </c>
      <c r="C32" s="72" t="s">
        <v>195</v>
      </c>
      <c r="D32" s="84" t="s">
        <v>72</v>
      </c>
      <c r="E32" s="85"/>
      <c r="F32" s="12"/>
      <c r="G32" s="93" t="s">
        <v>72</v>
      </c>
      <c r="H32" s="2"/>
      <c r="I32" s="12"/>
      <c r="J32" s="11"/>
      <c r="K32" s="2"/>
      <c r="L32" s="12"/>
      <c r="M32" s="11"/>
      <c r="N32" s="2"/>
      <c r="O32" s="12"/>
      <c r="P32" s="11"/>
      <c r="Q32" s="2"/>
      <c r="R32" s="12"/>
      <c r="S32" s="11"/>
      <c r="T32" s="2"/>
      <c r="U32" s="12"/>
    </row>
    <row r="33" spans="2:21" ht="15.6">
      <c r="B33" s="84">
        <v>11</v>
      </c>
      <c r="C33" s="72" t="s">
        <v>192</v>
      </c>
      <c r="D33" s="84" t="s">
        <v>72</v>
      </c>
      <c r="E33" s="85"/>
      <c r="F33" s="12"/>
      <c r="G33" s="11" t="s">
        <v>72</v>
      </c>
      <c r="H33" s="2"/>
      <c r="I33" s="12"/>
      <c r="J33" s="11"/>
      <c r="K33" s="2"/>
      <c r="L33" s="12"/>
      <c r="M33" s="11"/>
      <c r="N33" s="2"/>
      <c r="O33" s="12"/>
      <c r="P33" s="11"/>
      <c r="Q33" s="2"/>
      <c r="R33" s="12"/>
      <c r="S33" s="11"/>
      <c r="T33" s="2"/>
      <c r="U33" s="12"/>
    </row>
    <row r="34" spans="2:21" ht="15.6">
      <c r="B34" s="84">
        <v>12</v>
      </c>
      <c r="C34" s="72" t="s">
        <v>108</v>
      </c>
      <c r="D34" s="86" t="s">
        <v>72</v>
      </c>
      <c r="E34" s="87"/>
      <c r="F34" s="24"/>
      <c r="G34" s="22"/>
      <c r="H34" s="23" t="s">
        <v>72</v>
      </c>
      <c r="I34" s="24"/>
      <c r="J34" s="22"/>
      <c r="K34" s="23"/>
      <c r="L34" s="24"/>
      <c r="M34" s="22"/>
      <c r="N34" s="23"/>
      <c r="O34" s="24"/>
      <c r="P34" s="22"/>
      <c r="Q34" s="23"/>
      <c r="R34" s="24"/>
      <c r="S34" s="22"/>
      <c r="T34" s="23"/>
      <c r="U34" s="24"/>
    </row>
    <row r="35" spans="2:21" ht="15.6">
      <c r="B35" s="84">
        <v>13</v>
      </c>
      <c r="C35" s="72" t="s">
        <v>184</v>
      </c>
      <c r="D35" s="86"/>
      <c r="E35" s="87" t="s">
        <v>72</v>
      </c>
      <c r="F35" s="24"/>
      <c r="G35" s="22"/>
      <c r="H35" s="23" t="s">
        <v>72</v>
      </c>
      <c r="I35" s="24"/>
      <c r="J35" s="22"/>
      <c r="K35" s="23"/>
      <c r="L35" s="24"/>
      <c r="M35" s="22"/>
      <c r="N35" s="23"/>
      <c r="O35" s="24"/>
      <c r="P35" s="22"/>
      <c r="Q35" s="23"/>
      <c r="R35" s="24"/>
      <c r="S35" s="22"/>
      <c r="T35" s="23"/>
      <c r="U35" s="24"/>
    </row>
    <row r="36" spans="2:21" ht="15.6">
      <c r="B36" s="84">
        <v>14</v>
      </c>
      <c r="C36" s="72" t="s">
        <v>146</v>
      </c>
      <c r="D36" s="86" t="s">
        <v>72</v>
      </c>
      <c r="E36" s="87"/>
      <c r="F36" s="24"/>
      <c r="G36" s="22" t="s">
        <v>72</v>
      </c>
      <c r="H36" s="23"/>
      <c r="I36" s="24"/>
      <c r="J36" s="22"/>
      <c r="K36" s="23"/>
      <c r="L36" s="24"/>
      <c r="M36" s="22"/>
      <c r="N36" s="23"/>
      <c r="O36" s="24"/>
      <c r="P36" s="22"/>
      <c r="Q36" s="23"/>
      <c r="R36" s="24"/>
      <c r="S36" s="22"/>
      <c r="T36" s="23"/>
      <c r="U36" s="24"/>
    </row>
    <row r="37" spans="2:21" ht="16.2" thickBot="1">
      <c r="B37" s="84">
        <v>15</v>
      </c>
      <c r="C37" s="72" t="s">
        <v>170</v>
      </c>
      <c r="D37" s="86"/>
      <c r="E37" s="87" t="s">
        <v>72</v>
      </c>
      <c r="F37" s="24"/>
      <c r="G37" s="22"/>
      <c r="H37" s="23" t="s">
        <v>72</v>
      </c>
      <c r="I37" s="24"/>
      <c r="J37" s="22"/>
      <c r="K37" s="23"/>
      <c r="L37" s="24"/>
      <c r="M37" s="22"/>
      <c r="N37" s="23"/>
      <c r="O37" s="24"/>
      <c r="P37" s="22"/>
      <c r="Q37" s="23"/>
      <c r="R37" s="24"/>
      <c r="S37" s="22"/>
      <c r="T37" s="23"/>
      <c r="U37" s="24"/>
    </row>
    <row r="38" spans="2:21" ht="15" thickBot="1">
      <c r="B38" s="142" t="s">
        <v>14</v>
      </c>
      <c r="C38" s="143"/>
      <c r="D38" s="137">
        <f>(COUNTIF(D23:D37, "X"))/((COUNTA($C$23:$C$37))-(COUNTA(F23:F37)))</f>
        <v>0.8666666666666667</v>
      </c>
      <c r="E38" s="138"/>
      <c r="F38" s="139"/>
      <c r="G38" s="137">
        <f>(COUNTIF(G23:G37, "X"))/((COUNTA($C$23:$C$37))-(COUNTA(I23:I37)))</f>
        <v>0.8</v>
      </c>
      <c r="H38" s="138"/>
      <c r="I38" s="139"/>
      <c r="J38" s="137">
        <f>(COUNTIF(J23:J37, "X"))/((COUNTA($C$23:$C$37))-(COUNTA(L23:L37)))</f>
        <v>0</v>
      </c>
      <c r="K38" s="138"/>
      <c r="L38" s="139"/>
      <c r="M38" s="137">
        <f>(COUNTIF(M23:M37, "X"))/((COUNTA($C$23:$C$37))-(COUNTA(O23:O37)))</f>
        <v>0</v>
      </c>
      <c r="N38" s="138"/>
      <c r="O38" s="139"/>
      <c r="P38" s="137">
        <f>(COUNTIF(P23:P37, "X"))/((COUNTA($C$23:$C$37))-(COUNTA(R23:R37)))</f>
        <v>0</v>
      </c>
      <c r="Q38" s="138"/>
      <c r="R38" s="139"/>
      <c r="S38" s="137">
        <f>(COUNTIF(S23:S37, "X"))/((COUNTA($C$23:$C$37))-(COUNTA(U23:U37)))</f>
        <v>0</v>
      </c>
      <c r="T38" s="138"/>
      <c r="U38" s="139"/>
    </row>
    <row r="39" spans="2:21" ht="14.4" customHeight="1">
      <c r="B39" s="103" t="s">
        <v>188</v>
      </c>
      <c r="C39" s="103" t="s">
        <v>93</v>
      </c>
      <c r="D39" s="80">
        <v>46127</v>
      </c>
      <c r="E39" s="28"/>
      <c r="F39" s="27"/>
      <c r="G39" s="80"/>
      <c r="H39" s="28"/>
      <c r="I39" s="27"/>
      <c r="J39" s="25"/>
      <c r="K39" s="28"/>
      <c r="L39" s="27"/>
      <c r="M39" s="25"/>
      <c r="N39" s="28"/>
      <c r="O39" s="27"/>
      <c r="P39" s="25"/>
      <c r="Q39" s="28"/>
      <c r="R39" s="27"/>
      <c r="S39" s="25"/>
      <c r="T39" s="28"/>
      <c r="U39" s="27"/>
    </row>
    <row r="40" spans="2:21" ht="15.6">
      <c r="B40" s="11">
        <v>1</v>
      </c>
      <c r="C40" s="73" t="s">
        <v>234</v>
      </c>
      <c r="D40" s="11" t="s">
        <v>72</v>
      </c>
      <c r="E40" s="2"/>
      <c r="F40" s="12"/>
      <c r="G40" s="11" t="s">
        <v>72</v>
      </c>
      <c r="H40" s="2"/>
      <c r="I40" s="12"/>
      <c r="J40" s="11"/>
      <c r="K40" s="2"/>
      <c r="L40" s="12"/>
      <c r="M40" s="11"/>
      <c r="N40" s="2"/>
      <c r="O40" s="12"/>
      <c r="P40" s="11"/>
      <c r="Q40" s="2"/>
      <c r="R40" s="12"/>
      <c r="S40" s="11"/>
      <c r="T40" s="2"/>
      <c r="U40" s="12"/>
    </row>
    <row r="41" spans="2:21" ht="15.6">
      <c r="B41" s="11">
        <v>2</v>
      </c>
      <c r="C41" s="72" t="s">
        <v>90</v>
      </c>
      <c r="D41" s="2" t="s">
        <v>72</v>
      </c>
      <c r="E41" s="12"/>
      <c r="F41" s="12"/>
      <c r="G41" s="11" t="s">
        <v>72</v>
      </c>
      <c r="H41" s="2"/>
      <c r="I41" s="12"/>
      <c r="J41" s="2"/>
      <c r="K41" s="12"/>
      <c r="L41" s="12"/>
      <c r="M41" s="11"/>
      <c r="N41" s="2"/>
      <c r="O41" s="12"/>
      <c r="P41" s="11"/>
      <c r="Q41" s="2"/>
      <c r="R41" s="12"/>
      <c r="S41" s="11"/>
      <c r="T41" s="2"/>
      <c r="U41" s="12"/>
    </row>
    <row r="42" spans="2:21" ht="15.6">
      <c r="B42" s="11">
        <v>3</v>
      </c>
      <c r="C42" s="72" t="s">
        <v>91</v>
      </c>
      <c r="D42" s="2"/>
      <c r="E42" s="12" t="s">
        <v>72</v>
      </c>
      <c r="F42" s="12"/>
      <c r="G42" s="11"/>
      <c r="H42" s="2" t="s">
        <v>72</v>
      </c>
      <c r="I42" s="12"/>
      <c r="J42" s="2"/>
      <c r="K42" s="12"/>
      <c r="L42" s="12"/>
      <c r="M42" s="11"/>
      <c r="N42" s="2"/>
      <c r="O42" s="12"/>
      <c r="P42" s="11"/>
      <c r="Q42" s="2"/>
      <c r="R42" s="12"/>
      <c r="S42" s="11"/>
      <c r="T42" s="2"/>
      <c r="U42" s="12"/>
    </row>
    <row r="43" spans="2:21" ht="15.6">
      <c r="B43" s="11">
        <v>4</v>
      </c>
      <c r="C43" s="72" t="s">
        <v>109</v>
      </c>
      <c r="D43" s="2" t="s">
        <v>72</v>
      </c>
      <c r="E43" s="12"/>
      <c r="F43" s="12"/>
      <c r="G43" s="11" t="s">
        <v>72</v>
      </c>
      <c r="H43" s="2"/>
      <c r="I43" s="12"/>
      <c r="J43" s="2"/>
      <c r="K43" s="12"/>
      <c r="L43" s="12"/>
      <c r="M43" s="11"/>
      <c r="N43" s="2"/>
      <c r="O43" s="12"/>
      <c r="P43" s="11"/>
      <c r="Q43" s="2"/>
      <c r="R43" s="12"/>
      <c r="S43" s="11"/>
      <c r="T43" s="2"/>
      <c r="U43" s="12"/>
    </row>
    <row r="44" spans="2:21" ht="15.6">
      <c r="B44" s="11">
        <v>5</v>
      </c>
      <c r="C44" s="72" t="s">
        <v>92</v>
      </c>
      <c r="D44" s="2" t="s">
        <v>72</v>
      </c>
      <c r="E44" s="12"/>
      <c r="F44" s="12"/>
      <c r="G44" s="11" t="s">
        <v>72</v>
      </c>
      <c r="H44" s="2"/>
      <c r="I44" s="12"/>
      <c r="J44" s="2"/>
      <c r="K44" s="12"/>
      <c r="L44" s="12"/>
      <c r="M44" s="11"/>
      <c r="N44" s="2"/>
      <c r="O44" s="12"/>
      <c r="P44" s="11"/>
      <c r="Q44" s="2"/>
      <c r="R44" s="12"/>
      <c r="S44" s="11"/>
      <c r="T44" s="2"/>
      <c r="U44" s="12"/>
    </row>
    <row r="45" spans="2:21" ht="15.6">
      <c r="B45" s="11">
        <v>6</v>
      </c>
      <c r="C45" s="72" t="s">
        <v>114</v>
      </c>
      <c r="D45" s="23"/>
      <c r="E45" s="24" t="s">
        <v>72</v>
      </c>
      <c r="F45" s="24"/>
      <c r="G45" s="22"/>
      <c r="H45" s="23" t="s">
        <v>72</v>
      </c>
      <c r="I45" s="24"/>
      <c r="J45" s="23"/>
      <c r="K45" s="24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7</v>
      </c>
      <c r="C46" s="72" t="s">
        <v>180</v>
      </c>
      <c r="D46" s="23" t="s">
        <v>72</v>
      </c>
      <c r="E46" s="24"/>
      <c r="F46" s="24"/>
      <c r="G46" s="22" t="s">
        <v>72</v>
      </c>
      <c r="H46" s="23"/>
      <c r="I46" s="24"/>
      <c r="J46" s="23"/>
      <c r="K46" s="24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8</v>
      </c>
      <c r="C47" s="72" t="s">
        <v>110</v>
      </c>
      <c r="D47" s="23"/>
      <c r="E47" s="24" t="s">
        <v>72</v>
      </c>
      <c r="F47" s="24"/>
      <c r="G47" s="104"/>
      <c r="H47" s="23" t="s">
        <v>72</v>
      </c>
      <c r="I47" s="24"/>
      <c r="J47" s="23"/>
      <c r="K47" s="24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5.6">
      <c r="B48" s="11">
        <v>9</v>
      </c>
      <c r="C48" s="72" t="s">
        <v>112</v>
      </c>
      <c r="D48" s="23" t="s">
        <v>72</v>
      </c>
      <c r="E48" s="24"/>
      <c r="F48" s="24"/>
      <c r="G48" s="22" t="s">
        <v>72</v>
      </c>
      <c r="H48" s="23"/>
      <c r="I48" s="24"/>
      <c r="J48" s="23"/>
      <c r="K48" s="24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.6">
      <c r="B49" s="11">
        <v>10</v>
      </c>
      <c r="C49" s="72" t="s">
        <v>115</v>
      </c>
      <c r="D49" s="23" t="s">
        <v>72</v>
      </c>
      <c r="E49" s="24"/>
      <c r="F49" s="24"/>
      <c r="G49" s="22" t="s">
        <v>72</v>
      </c>
      <c r="H49" s="23"/>
      <c r="I49" s="24"/>
      <c r="J49" s="23"/>
      <c r="K49" s="24"/>
      <c r="L49" s="24"/>
      <c r="M49" s="22"/>
      <c r="N49" s="23"/>
      <c r="O49" s="24"/>
      <c r="P49" s="22"/>
      <c r="Q49" s="23"/>
      <c r="R49" s="24"/>
      <c r="S49" s="22"/>
      <c r="T49" s="23"/>
      <c r="U49" s="24"/>
    </row>
    <row r="50" spans="2:21" ht="15.6">
      <c r="B50" s="11">
        <v>11</v>
      </c>
      <c r="C50" s="72" t="s">
        <v>113</v>
      </c>
      <c r="D50" s="23" t="s">
        <v>72</v>
      </c>
      <c r="E50" s="24"/>
      <c r="F50" s="24"/>
      <c r="G50" s="22" t="s">
        <v>72</v>
      </c>
      <c r="H50" s="23"/>
      <c r="I50" s="24"/>
      <c r="J50" s="23"/>
      <c r="K50" s="24"/>
      <c r="L50" s="24"/>
      <c r="M50" s="22"/>
      <c r="N50" s="23"/>
      <c r="O50" s="24"/>
      <c r="P50" s="22"/>
      <c r="Q50" s="23"/>
      <c r="R50" s="24"/>
      <c r="S50" s="22"/>
      <c r="T50" s="23"/>
      <c r="U50" s="24"/>
    </row>
    <row r="51" spans="2:21" ht="15.6">
      <c r="B51" s="11">
        <v>12</v>
      </c>
      <c r="C51" s="72" t="s">
        <v>142</v>
      </c>
      <c r="D51" s="23" t="s">
        <v>72</v>
      </c>
      <c r="E51" s="24"/>
      <c r="F51" s="24"/>
      <c r="G51" s="22"/>
      <c r="H51" s="23" t="s">
        <v>72</v>
      </c>
      <c r="I51" s="24"/>
      <c r="J51" s="23"/>
      <c r="K51" s="24"/>
      <c r="L51" s="24"/>
      <c r="M51" s="22"/>
      <c r="N51" s="23"/>
      <c r="O51" s="24"/>
      <c r="P51" s="22"/>
      <c r="Q51" s="23"/>
      <c r="R51" s="24"/>
      <c r="S51" s="22"/>
      <c r="T51" s="23"/>
      <c r="U51" s="24"/>
    </row>
    <row r="52" spans="2:21" ht="15.6">
      <c r="B52" s="11">
        <v>13</v>
      </c>
      <c r="C52" s="72" t="s">
        <v>197</v>
      </c>
      <c r="D52" s="23" t="s">
        <v>72</v>
      </c>
      <c r="E52" s="24"/>
      <c r="F52" s="24"/>
      <c r="G52" s="22" t="s">
        <v>72</v>
      </c>
      <c r="H52" s="23"/>
      <c r="I52" s="24"/>
      <c r="J52" s="23"/>
      <c r="K52" s="24"/>
      <c r="L52" s="24"/>
      <c r="M52" s="22"/>
      <c r="N52" s="23"/>
      <c r="O52" s="24"/>
      <c r="P52" s="22"/>
      <c r="Q52" s="23"/>
      <c r="R52" s="24"/>
      <c r="S52" s="22"/>
      <c r="T52" s="23"/>
      <c r="U52" s="24"/>
    </row>
    <row r="53" spans="2:21" ht="15.6">
      <c r="B53" s="11">
        <v>14</v>
      </c>
      <c r="C53" s="72" t="s">
        <v>209</v>
      </c>
      <c r="D53" s="23" t="s">
        <v>72</v>
      </c>
      <c r="E53" s="24"/>
      <c r="F53" s="24"/>
      <c r="G53" s="22" t="s">
        <v>72</v>
      </c>
      <c r="H53" s="23"/>
      <c r="I53" s="24"/>
      <c r="J53" s="23"/>
      <c r="K53" s="24"/>
      <c r="L53" s="24"/>
      <c r="M53" s="22"/>
      <c r="N53" s="23"/>
      <c r="O53" s="24"/>
      <c r="P53" s="22"/>
      <c r="Q53" s="23"/>
      <c r="R53" s="24"/>
      <c r="S53" s="22"/>
      <c r="T53" s="23"/>
      <c r="U53" s="24"/>
    </row>
    <row r="54" spans="2:21" ht="15.6">
      <c r="B54" s="11">
        <v>15</v>
      </c>
      <c r="C54" s="72" t="s">
        <v>198</v>
      </c>
      <c r="D54" s="23"/>
      <c r="E54" s="24"/>
      <c r="F54" s="24" t="s">
        <v>72</v>
      </c>
      <c r="G54" s="22"/>
      <c r="H54" s="23"/>
      <c r="I54" s="24" t="s">
        <v>72</v>
      </c>
      <c r="J54" s="23"/>
      <c r="K54" s="24"/>
      <c r="L54" s="24"/>
      <c r="M54" s="22"/>
      <c r="N54" s="23"/>
      <c r="O54" s="24"/>
      <c r="P54" s="22"/>
      <c r="Q54" s="23"/>
      <c r="R54" s="24"/>
      <c r="S54" s="22"/>
      <c r="T54" s="23"/>
      <c r="U54" s="24"/>
    </row>
    <row r="55" spans="2:21" ht="15.6">
      <c r="B55" s="11">
        <v>16</v>
      </c>
      <c r="C55" s="72" t="s">
        <v>236</v>
      </c>
      <c r="D55" s="23"/>
      <c r="E55" s="24" t="s">
        <v>72</v>
      </c>
      <c r="F55" s="24"/>
      <c r="G55" s="22" t="s">
        <v>72</v>
      </c>
      <c r="H55" s="23"/>
      <c r="I55" s="24"/>
      <c r="J55" s="23"/>
      <c r="K55" s="24"/>
      <c r="L55" s="24"/>
      <c r="M55" s="22"/>
      <c r="N55" s="23"/>
      <c r="O55" s="24"/>
      <c r="P55" s="22"/>
      <c r="Q55" s="23"/>
      <c r="R55" s="24"/>
      <c r="S55" s="22"/>
      <c r="T55" s="23"/>
      <c r="U55" s="24"/>
    </row>
    <row r="56" spans="2:21" ht="16.2" thickBot="1">
      <c r="B56" s="11">
        <v>17</v>
      </c>
      <c r="C56" s="72" t="s">
        <v>173</v>
      </c>
      <c r="D56" s="23" t="s">
        <v>72</v>
      </c>
      <c r="E56" s="24"/>
      <c r="F56" s="24"/>
      <c r="G56" s="22" t="s">
        <v>72</v>
      </c>
      <c r="H56" s="23"/>
      <c r="I56" s="24"/>
      <c r="J56" s="23"/>
      <c r="K56" s="24"/>
      <c r="L56" s="24"/>
      <c r="M56" s="22"/>
      <c r="N56" s="23"/>
      <c r="O56" s="24"/>
      <c r="P56" s="22"/>
      <c r="Q56" s="23"/>
      <c r="R56" s="24"/>
      <c r="S56" s="22"/>
      <c r="T56" s="23"/>
      <c r="U56" s="24"/>
    </row>
    <row r="57" spans="2:21" ht="15" customHeight="1" thickBot="1">
      <c r="B57" s="102"/>
      <c r="C57" s="102" t="s">
        <v>14</v>
      </c>
      <c r="D57" s="99">
        <f>(COUNTIF(D40:D56, "X"))/((COUNTA($C$40:$C$56))-(COUNTA(F40:F56)))</f>
        <v>0.75</v>
      </c>
      <c r="E57" s="100"/>
      <c r="F57" s="101"/>
      <c r="G57" s="99">
        <f>(COUNTIF(G40:G56, "X"))/((COUNTA($C$40:$C$56))-(COUNTA(I40:I56)))</f>
        <v>0.75</v>
      </c>
      <c r="H57" s="100"/>
      <c r="I57" s="101"/>
      <c r="J57" s="137">
        <f>(COUNTIF(J40:J56, "X"))/((COUNTA($C$40:$C$56))-(COUNTA(L40:L56)))</f>
        <v>0</v>
      </c>
      <c r="K57" s="138"/>
      <c r="L57" s="139"/>
      <c r="M57" s="137">
        <f>(COUNTIF(M40:M56, "X"))/((COUNTA($C$40:$C$56))-(COUNTA(O40:O56)))</f>
        <v>0</v>
      </c>
      <c r="N57" s="138"/>
      <c r="O57" s="139"/>
      <c r="P57" s="137">
        <f>(COUNTIF(P40:P56, "X"))/((COUNTA($C$40:$C$56))-(COUNTA(R40:R56)))</f>
        <v>0</v>
      </c>
      <c r="Q57" s="138"/>
      <c r="R57" s="139"/>
      <c r="S57" s="137">
        <f>(COUNTIF(S40:S56, "X"))/((COUNTA($C$40:$C$56))-(COUNTA(U40:U56)))</f>
        <v>0</v>
      </c>
      <c r="T57" s="138"/>
      <c r="U57" s="139"/>
    </row>
    <row r="58" spans="2:21">
      <c r="B58" s="147" t="s">
        <v>95</v>
      </c>
      <c r="C58" s="148"/>
      <c r="D58" s="25"/>
      <c r="E58" s="28"/>
      <c r="F58" s="27"/>
      <c r="G58" s="25"/>
      <c r="H58" s="28"/>
      <c r="I58" s="27"/>
      <c r="J58" s="25"/>
      <c r="K58" s="28"/>
      <c r="L58" s="27"/>
      <c r="M58" s="25"/>
      <c r="N58" s="28"/>
      <c r="O58" s="27"/>
      <c r="P58" s="25"/>
      <c r="Q58" s="28"/>
      <c r="R58" s="27"/>
      <c r="S58" s="25"/>
      <c r="T58" s="28"/>
      <c r="U58" s="27"/>
    </row>
    <row r="59" spans="2:21" ht="15.6">
      <c r="B59" s="11">
        <v>1</v>
      </c>
      <c r="C59" s="72" t="s">
        <v>199</v>
      </c>
      <c r="D59" s="11"/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2</v>
      </c>
      <c r="C60" s="72" t="s">
        <v>200</v>
      </c>
      <c r="D60" s="11"/>
      <c r="E60" s="2"/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 ht="15.6">
      <c r="B61" s="11">
        <v>3</v>
      </c>
      <c r="C61" s="72" t="s">
        <v>94</v>
      </c>
      <c r="D61" s="11"/>
      <c r="E61" s="2"/>
      <c r="F61" s="12"/>
      <c r="G61" s="11"/>
      <c r="H61" s="2"/>
      <c r="I61" s="12"/>
      <c r="J61" s="11"/>
      <c r="K61" s="2"/>
      <c r="L61" s="12"/>
      <c r="M61" s="11"/>
      <c r="N61" s="2"/>
      <c r="O61" s="12"/>
      <c r="P61" s="11"/>
      <c r="Q61" s="2"/>
      <c r="R61" s="12"/>
      <c r="S61" s="11"/>
      <c r="T61" s="2"/>
      <c r="U61" s="12"/>
    </row>
    <row r="62" spans="2:21" ht="15.6">
      <c r="B62" s="11">
        <v>4</v>
      </c>
      <c r="C62" s="72" t="s">
        <v>201</v>
      </c>
      <c r="D62" s="11"/>
      <c r="E62" s="2"/>
      <c r="F62" s="12"/>
      <c r="G62" s="11"/>
      <c r="H62" s="2"/>
      <c r="I62" s="12"/>
      <c r="J62" s="11"/>
      <c r="K62" s="2"/>
      <c r="L62" s="12"/>
      <c r="M62" s="11"/>
      <c r="N62" s="2"/>
      <c r="O62" s="12"/>
      <c r="P62" s="11"/>
      <c r="Q62" s="2"/>
      <c r="R62" s="12"/>
      <c r="S62" s="11"/>
      <c r="T62" s="2"/>
      <c r="U62" s="12"/>
    </row>
    <row r="63" spans="2:21">
      <c r="B63" s="142" t="s">
        <v>14</v>
      </c>
      <c r="C63" s="143"/>
      <c r="D63" s="144">
        <f>(COUNTIF(D59:D62, "X"))/((COUNTA($C$59:$C$62))-(COUNTA(F59:F62)))</f>
        <v>0</v>
      </c>
      <c r="E63" s="145"/>
      <c r="F63" s="146"/>
      <c r="G63" s="144">
        <f>(COUNTIF(G59:G62, "X"))/((COUNTA($C$59:$C$62))-(COUNTA(I59:I62)))</f>
        <v>0</v>
      </c>
      <c r="H63" s="145"/>
      <c r="I63" s="146"/>
      <c r="J63" s="144">
        <f>(COUNTIF(J59:J62, "X"))/((COUNTA($C$59:$C$62))-(COUNTA(L59:L62)))</f>
        <v>0</v>
      </c>
      <c r="K63" s="145"/>
      <c r="L63" s="146"/>
      <c r="M63" s="144">
        <f>(COUNTIF(M59:M62, "X"))/((COUNTA($C$59:$C$62))-(COUNTA(O59:O62)))</f>
        <v>0</v>
      </c>
      <c r="N63" s="145"/>
      <c r="O63" s="146"/>
      <c r="P63" s="144">
        <f>(COUNTIF(P59:P62, "X"))/((COUNTA($C$59:$C$62))-(COUNTA(R59:R62)))</f>
        <v>0</v>
      </c>
      <c r="Q63" s="145"/>
      <c r="R63" s="146"/>
      <c r="S63" s="144">
        <f>(COUNTIF(S59:S62, "X"))/((COUNTA($C$59:$C$62))-(COUNTA(U59:U62)))</f>
        <v>0</v>
      </c>
      <c r="T63" s="145"/>
      <c r="U63" s="146"/>
    </row>
    <row r="64" spans="2:21">
      <c r="B64" s="147" t="s">
        <v>120</v>
      </c>
      <c r="C64" s="148"/>
      <c r="D64" s="78">
        <v>46125</v>
      </c>
      <c r="E64" s="5"/>
      <c r="F64" s="17"/>
      <c r="G64" s="78">
        <v>46139</v>
      </c>
      <c r="H64" s="5"/>
      <c r="I64" s="17"/>
      <c r="J64" s="16"/>
      <c r="K64" s="5"/>
      <c r="L64" s="17"/>
      <c r="M64" s="16"/>
      <c r="N64" s="5"/>
      <c r="O64" s="17"/>
      <c r="P64" s="16"/>
      <c r="Q64" s="5"/>
      <c r="R64" s="17"/>
      <c r="S64" s="16"/>
      <c r="T64" s="5"/>
      <c r="U64" s="17"/>
    </row>
    <row r="65" spans="2:21" ht="15.6">
      <c r="B65" s="11">
        <v>1</v>
      </c>
      <c r="C65" s="72" t="s">
        <v>202</v>
      </c>
      <c r="D65" s="11" t="s">
        <v>72</v>
      </c>
      <c r="E65" s="2"/>
      <c r="F65" s="12"/>
      <c r="G65" s="11" t="s">
        <v>72</v>
      </c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2</v>
      </c>
      <c r="C66" s="72" t="s">
        <v>124</v>
      </c>
      <c r="D66" s="11" t="s">
        <v>72</v>
      </c>
      <c r="E66" s="2"/>
      <c r="F66" s="12"/>
      <c r="G66" s="11" t="s">
        <v>72</v>
      </c>
      <c r="H66" s="2"/>
      <c r="I66" s="12"/>
      <c r="J66" s="11"/>
      <c r="K66" s="2"/>
      <c r="L66" s="12"/>
      <c r="M66" s="11"/>
      <c r="N66" s="2"/>
      <c r="O66" s="12"/>
      <c r="P66" s="11"/>
      <c r="Q66" s="2"/>
      <c r="R66" s="12"/>
      <c r="S66" s="11"/>
      <c r="T66" s="2"/>
      <c r="U66" s="12"/>
    </row>
    <row r="67" spans="2:21" ht="15.6">
      <c r="B67" s="11">
        <v>3</v>
      </c>
      <c r="C67" s="72" t="s">
        <v>121</v>
      </c>
      <c r="D67" s="11" t="s">
        <v>72</v>
      </c>
      <c r="E67" s="2"/>
      <c r="F67" s="12"/>
      <c r="G67" s="11" t="s">
        <v>72</v>
      </c>
      <c r="H67" s="2"/>
      <c r="I67" s="12"/>
      <c r="J67" s="11"/>
      <c r="K67" s="2"/>
      <c r="L67" s="12"/>
      <c r="M67" s="11"/>
      <c r="N67" s="2"/>
      <c r="O67" s="12"/>
      <c r="P67" s="11"/>
      <c r="Q67" s="2"/>
      <c r="R67" s="12"/>
      <c r="S67" s="11"/>
      <c r="T67" s="2"/>
      <c r="U67" s="12"/>
    </row>
    <row r="68" spans="2:21" ht="15.6">
      <c r="B68" s="11">
        <v>4</v>
      </c>
      <c r="C68" s="74" t="s">
        <v>122</v>
      </c>
      <c r="D68" s="22" t="s">
        <v>72</v>
      </c>
      <c r="E68" s="23"/>
      <c r="F68" s="24"/>
      <c r="G68" s="22" t="s">
        <v>72</v>
      </c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5</v>
      </c>
      <c r="C69" s="74" t="s">
        <v>116</v>
      </c>
      <c r="D69" s="22" t="s">
        <v>72</v>
      </c>
      <c r="E69" s="23"/>
      <c r="F69" s="24"/>
      <c r="G69" s="22" t="s">
        <v>72</v>
      </c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6</v>
      </c>
      <c r="C70" s="74" t="s">
        <v>203</v>
      </c>
      <c r="D70" s="22" t="s">
        <v>72</v>
      </c>
      <c r="E70" s="23"/>
      <c r="F70" s="24"/>
      <c r="G70" s="22" t="s">
        <v>72</v>
      </c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7</v>
      </c>
      <c r="C71" s="74" t="s">
        <v>117</v>
      </c>
      <c r="D71" s="22" t="s">
        <v>72</v>
      </c>
      <c r="E71" s="23"/>
      <c r="F71" s="24"/>
      <c r="G71" s="22" t="s">
        <v>72</v>
      </c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8</v>
      </c>
      <c r="C72" s="74" t="s">
        <v>123</v>
      </c>
      <c r="D72" s="22" t="s">
        <v>72</v>
      </c>
      <c r="E72" s="23"/>
      <c r="F72" s="24"/>
      <c r="G72" s="22" t="s">
        <v>72</v>
      </c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9</v>
      </c>
      <c r="C73" s="74" t="s">
        <v>210</v>
      </c>
      <c r="D73" s="22" t="s">
        <v>72</v>
      </c>
      <c r="E73" s="23"/>
      <c r="F73" s="24"/>
      <c r="G73" s="22" t="s">
        <v>72</v>
      </c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10</v>
      </c>
      <c r="C74" s="77" t="s">
        <v>184</v>
      </c>
      <c r="D74" s="22" t="s">
        <v>72</v>
      </c>
      <c r="E74" s="23"/>
      <c r="F74" s="24"/>
      <c r="G74" s="22" t="s">
        <v>72</v>
      </c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5.6">
      <c r="B75" s="11">
        <v>12</v>
      </c>
      <c r="C75" s="72" t="s">
        <v>192</v>
      </c>
      <c r="D75" s="22" t="s">
        <v>72</v>
      </c>
      <c r="E75" s="23"/>
      <c r="F75" s="24"/>
      <c r="G75" s="22" t="s">
        <v>72</v>
      </c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 ht="15.6">
      <c r="B76" s="11">
        <v>13</v>
      </c>
      <c r="C76" s="77" t="s">
        <v>145</v>
      </c>
      <c r="D76" s="22" t="s">
        <v>72</v>
      </c>
      <c r="E76" s="23"/>
      <c r="F76" s="24"/>
      <c r="G76" s="22" t="s">
        <v>72</v>
      </c>
      <c r="H76" s="23"/>
      <c r="I76" s="24"/>
      <c r="J76" s="22"/>
      <c r="K76" s="23"/>
      <c r="L76" s="24"/>
      <c r="M76" s="22"/>
      <c r="N76" s="23"/>
      <c r="O76" s="24"/>
      <c r="P76" s="22"/>
      <c r="Q76" s="23"/>
      <c r="R76" s="24"/>
      <c r="S76" s="22"/>
      <c r="T76" s="23"/>
      <c r="U76" s="24"/>
    </row>
    <row r="77" spans="2:21" ht="16.2" thickBot="1">
      <c r="B77" s="11">
        <v>14</v>
      </c>
      <c r="C77" s="72" t="s">
        <v>170</v>
      </c>
      <c r="D77" s="82" t="s">
        <v>72</v>
      </c>
      <c r="E77" s="23"/>
      <c r="F77" s="24"/>
      <c r="G77" s="22" t="s">
        <v>72</v>
      </c>
      <c r="H77" s="23"/>
      <c r="I77" s="24"/>
      <c r="J77" s="22"/>
      <c r="K77" s="23"/>
      <c r="L77" s="24"/>
      <c r="M77" s="22"/>
      <c r="N77" s="23"/>
      <c r="O77" s="24"/>
      <c r="P77" s="22"/>
      <c r="Q77" s="23"/>
      <c r="R77" s="24"/>
      <c r="S77" s="22"/>
      <c r="T77" s="23"/>
      <c r="U77" s="24"/>
    </row>
    <row r="78" spans="2:21">
      <c r="B78" s="142" t="s">
        <v>14</v>
      </c>
      <c r="C78" s="143"/>
      <c r="D78" s="149">
        <f>(COUNTIF(D65:D77, "X"))/((COUNTA($C$65:$C$77))-(COUNTA(F65:F77)))</f>
        <v>1</v>
      </c>
      <c r="E78" s="150"/>
      <c r="F78" s="151"/>
      <c r="G78" s="149">
        <f>(COUNTIF(G65:G77, "X"))/((COUNTA($C$65:$C$77))-(COUNTA(I65:I77)))</f>
        <v>1</v>
      </c>
      <c r="H78" s="150"/>
      <c r="I78" s="151"/>
      <c r="J78" s="149">
        <f>(COUNTIF(J65:J77, "X"))/((COUNTA($C$65:$C$77))-(COUNTA(L65:L77)))</f>
        <v>0</v>
      </c>
      <c r="K78" s="150"/>
      <c r="L78" s="151"/>
      <c r="M78" s="149">
        <f>(COUNTIF(M65:M77, "X"))/((COUNTA($C$65:$C$73))-(COUNTA(O65:O77)))</f>
        <v>0</v>
      </c>
      <c r="N78" s="150"/>
      <c r="O78" s="151"/>
      <c r="P78" s="149">
        <f>(COUNTIF(P65:P77, "X"))/((COUNTA($C$65:$C$73))-(COUNTA(R65:R77)))</f>
        <v>0</v>
      </c>
      <c r="Q78" s="150"/>
      <c r="R78" s="151"/>
      <c r="S78" s="149">
        <f>(COUNTIF(S65:S77, "X"))/((COUNTA($C$65:$C$73))-(COUNTA(U65:U77)))</f>
        <v>0</v>
      </c>
      <c r="T78" s="150"/>
      <c r="U78" s="151"/>
    </row>
    <row r="79" spans="2:21" ht="15" thickBot="1">
      <c r="B79" s="147" t="s">
        <v>99</v>
      </c>
      <c r="C79" s="148"/>
      <c r="D79" s="32"/>
      <c r="E79" s="33"/>
      <c r="F79" s="34"/>
      <c r="G79" s="32"/>
      <c r="H79" s="33"/>
      <c r="I79" s="34"/>
      <c r="J79" s="32"/>
      <c r="K79" s="33"/>
      <c r="L79" s="34"/>
      <c r="M79" s="32"/>
      <c r="N79" s="33"/>
      <c r="O79" s="34"/>
      <c r="P79" s="32"/>
      <c r="Q79" s="33"/>
      <c r="R79" s="34"/>
      <c r="S79" s="32"/>
      <c r="T79" s="33"/>
      <c r="U79" s="34"/>
    </row>
    <row r="80" spans="2:21" ht="15.6">
      <c r="B80" s="11">
        <v>1</v>
      </c>
      <c r="C80" s="72" t="s">
        <v>97</v>
      </c>
      <c r="D80" s="29"/>
      <c r="E80" s="30"/>
      <c r="F80" s="31"/>
      <c r="G80" s="29"/>
      <c r="H80" s="30"/>
      <c r="I80" s="31"/>
      <c r="J80" s="29"/>
      <c r="K80" s="30"/>
      <c r="L80" s="31"/>
      <c r="M80" s="29"/>
      <c r="N80" s="30"/>
      <c r="O80" s="31"/>
      <c r="P80" s="29"/>
      <c r="Q80" s="30"/>
      <c r="R80" s="31"/>
      <c r="S80" s="29"/>
      <c r="T80" s="30"/>
      <c r="U80" s="31"/>
    </row>
    <row r="81" spans="2:21" ht="15.6">
      <c r="B81" s="11">
        <v>2</v>
      </c>
      <c r="C81" s="72" t="s">
        <v>211</v>
      </c>
      <c r="D81" s="11"/>
      <c r="E81" s="2"/>
      <c r="F81" s="12"/>
      <c r="G81" s="11"/>
      <c r="H81" s="2"/>
      <c r="I81" s="12"/>
      <c r="J81" s="11"/>
      <c r="K81" s="2"/>
      <c r="L81" s="12"/>
      <c r="M81" s="11"/>
      <c r="N81" s="2"/>
      <c r="O81" s="12"/>
      <c r="P81" s="11"/>
      <c r="Q81" s="2"/>
      <c r="R81" s="12"/>
      <c r="S81" s="11"/>
      <c r="T81" s="2"/>
      <c r="U81" s="12"/>
    </row>
    <row r="82" spans="2:21" ht="15.6">
      <c r="B82" s="11">
        <v>3</v>
      </c>
      <c r="C82" s="72" t="s">
        <v>98</v>
      </c>
      <c r="D82" s="11"/>
      <c r="E82" s="2"/>
      <c r="F82" s="12"/>
      <c r="G82" s="11"/>
      <c r="H82" s="2"/>
      <c r="I82" s="12"/>
      <c r="J82" s="11"/>
      <c r="K82" s="2"/>
      <c r="L82" s="12"/>
      <c r="M82" s="11"/>
      <c r="N82" s="2"/>
      <c r="O82" s="12"/>
      <c r="P82" s="11"/>
      <c r="Q82" s="2"/>
      <c r="R82" s="12"/>
      <c r="S82" s="11"/>
      <c r="T82" s="2"/>
      <c r="U82" s="12"/>
    </row>
    <row r="83" spans="2:21" ht="16.2" thickBot="1">
      <c r="B83" s="11">
        <v>4</v>
      </c>
      <c r="C83" s="74" t="s">
        <v>170</v>
      </c>
      <c r="D83" s="22"/>
      <c r="E83" s="23"/>
      <c r="F83" s="24"/>
      <c r="G83" s="22"/>
      <c r="H83" s="23"/>
      <c r="I83" s="24"/>
      <c r="J83" s="22"/>
      <c r="K83" s="23"/>
      <c r="L83" s="24"/>
      <c r="M83" s="22"/>
      <c r="N83" s="23"/>
      <c r="O83" s="24"/>
      <c r="P83" s="22"/>
      <c r="Q83" s="23"/>
      <c r="R83" s="24"/>
      <c r="S83" s="22"/>
      <c r="T83" s="23"/>
      <c r="U83" s="24"/>
    </row>
    <row r="84" spans="2:21" ht="15" thickBot="1">
      <c r="B84" s="152" t="s">
        <v>14</v>
      </c>
      <c r="C84" s="153"/>
      <c r="D84" s="137">
        <f>(COUNTIF(D80:D83, "X"))/((COUNTA($C$80:$C$83))-(COUNTA(F80:F83)))</f>
        <v>0</v>
      </c>
      <c r="E84" s="138"/>
      <c r="F84" s="139"/>
      <c r="G84" s="137">
        <f>(COUNTIF(G80:G83, "X"))/((COUNTA($C$80:$C$83))-(COUNTA(I80:I83)))</f>
        <v>0</v>
      </c>
      <c r="H84" s="138"/>
      <c r="I84" s="139"/>
      <c r="J84" s="137">
        <f>(COUNTIF(J80:J83, "X"))/((COUNTA($C$80:$C$83))-(COUNTA(L80:L83)))</f>
        <v>0</v>
      </c>
      <c r="K84" s="138"/>
      <c r="L84" s="139"/>
      <c r="M84" s="137">
        <f>(COUNTIF(M80:M83, "X"))/((COUNTA($C$80:$C$83))-(COUNTA(O80:O83)))</f>
        <v>0</v>
      </c>
      <c r="N84" s="138"/>
      <c r="O84" s="139"/>
      <c r="P84" s="137">
        <f>(COUNTIF(P80:P83, "X"))/((COUNTA($C$80:$C$83))-(COUNTA(R80:R83)))</f>
        <v>0</v>
      </c>
      <c r="Q84" s="138"/>
      <c r="R84" s="139"/>
      <c r="S84" s="137">
        <f>(COUNTIF(S80:S83, "X"))/((COUNTA($C$80:$C$83))-(COUNTA(U80:U83)))</f>
        <v>0</v>
      </c>
      <c r="T84" s="138"/>
      <c r="U84" s="139"/>
    </row>
    <row r="85" spans="2:21" ht="14.4" customHeight="1">
      <c r="B85" s="97" t="s">
        <v>188</v>
      </c>
      <c r="C85" s="97" t="s">
        <v>103</v>
      </c>
      <c r="D85" s="80">
        <v>46134</v>
      </c>
      <c r="E85" s="26"/>
      <c r="F85" s="27"/>
      <c r="G85" s="80"/>
      <c r="H85" s="26"/>
      <c r="I85" s="27"/>
      <c r="J85" s="80"/>
      <c r="K85" s="26"/>
      <c r="L85" s="27"/>
      <c r="M85" s="25"/>
      <c r="N85" s="26"/>
      <c r="O85" s="27"/>
      <c r="P85" s="25"/>
      <c r="Q85" s="26"/>
      <c r="R85" s="27"/>
      <c r="S85" s="25"/>
      <c r="T85" s="26"/>
      <c r="U85" s="27"/>
    </row>
    <row r="86" spans="2:21" ht="15.6">
      <c r="B86" s="11">
        <v>1</v>
      </c>
      <c r="C86" s="72" t="s">
        <v>83</v>
      </c>
      <c r="D86" s="11" t="s">
        <v>72</v>
      </c>
      <c r="E86" s="2"/>
      <c r="F86" s="12"/>
      <c r="G86" s="11"/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2</v>
      </c>
      <c r="C87" s="72" t="s">
        <v>107</v>
      </c>
      <c r="D87" s="11" t="s">
        <v>72</v>
      </c>
      <c r="E87" s="2"/>
      <c r="F87" s="12"/>
      <c r="G87" s="11"/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3</v>
      </c>
      <c r="C88" s="72" t="s">
        <v>104</v>
      </c>
      <c r="D88" s="11"/>
      <c r="E88" s="2" t="s">
        <v>72</v>
      </c>
      <c r="F88" s="12"/>
      <c r="G88" s="11"/>
      <c r="H88" s="2"/>
      <c r="I88" s="12"/>
      <c r="J88" s="11"/>
      <c r="K88" s="2"/>
      <c r="L88" s="12"/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4</v>
      </c>
      <c r="C89" s="72" t="s">
        <v>105</v>
      </c>
      <c r="D89" s="11" t="s">
        <v>72</v>
      </c>
      <c r="E89" s="2"/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5</v>
      </c>
      <c r="C90" s="72" t="s">
        <v>194</v>
      </c>
      <c r="D90" s="11" t="s">
        <v>72</v>
      </c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6</v>
      </c>
      <c r="C91" s="72" t="s">
        <v>212</v>
      </c>
      <c r="D91" s="11" t="s">
        <v>72</v>
      </c>
      <c r="E91" s="2"/>
      <c r="F91" s="12"/>
      <c r="G91" s="93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7</v>
      </c>
      <c r="C92" s="72" t="s">
        <v>106</v>
      </c>
      <c r="D92" s="11" t="s">
        <v>72</v>
      </c>
      <c r="E92" s="2"/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8</v>
      </c>
      <c r="C93" s="72" t="s">
        <v>161</v>
      </c>
      <c r="D93" s="11"/>
      <c r="E93" s="2" t="s">
        <v>72</v>
      </c>
      <c r="F93" s="12"/>
      <c r="G93" s="11"/>
      <c r="H93" s="2"/>
      <c r="I93" s="12"/>
      <c r="J93" s="11"/>
      <c r="K93" s="2"/>
      <c r="L93" s="12"/>
      <c r="M93" s="11"/>
      <c r="N93" s="2"/>
      <c r="O93" s="12"/>
      <c r="P93" s="11"/>
      <c r="Q93" s="2"/>
      <c r="R93" s="12"/>
      <c r="S93" s="11"/>
      <c r="T93" s="2"/>
      <c r="U93" s="12"/>
    </row>
    <row r="94" spans="2:21" ht="15.6">
      <c r="B94" s="11">
        <v>9</v>
      </c>
      <c r="C94" s="72" t="s">
        <v>88</v>
      </c>
      <c r="D94" s="11" t="s">
        <v>72</v>
      </c>
      <c r="E94" s="2"/>
      <c r="F94" s="12"/>
      <c r="G94" s="11"/>
      <c r="H94" s="2"/>
      <c r="I94" s="12"/>
      <c r="J94" s="11"/>
      <c r="K94" s="2"/>
      <c r="L94" s="12"/>
      <c r="M94" s="11"/>
      <c r="N94" s="2"/>
      <c r="O94" s="12"/>
      <c r="P94" s="11"/>
      <c r="Q94" s="2"/>
      <c r="R94" s="12"/>
      <c r="S94" s="11"/>
      <c r="T94" s="2"/>
      <c r="U94" s="12"/>
    </row>
    <row r="95" spans="2:21" ht="15.6">
      <c r="B95" s="11">
        <v>10</v>
      </c>
      <c r="C95" s="72" t="s">
        <v>150</v>
      </c>
      <c r="D95" s="11"/>
      <c r="E95" s="2" t="s">
        <v>72</v>
      </c>
      <c r="F95" s="12"/>
      <c r="G95" s="11"/>
      <c r="H95" s="2"/>
      <c r="I95" s="12"/>
      <c r="J95" s="11"/>
      <c r="K95" s="2"/>
      <c r="L95" s="12"/>
      <c r="M95" s="11"/>
      <c r="N95" s="2"/>
      <c r="O95" s="12"/>
      <c r="P95" s="11"/>
      <c r="Q95" s="2"/>
      <c r="R95" s="12"/>
      <c r="S95" s="11"/>
      <c r="T95" s="2"/>
      <c r="U95" s="12"/>
    </row>
    <row r="96" spans="2:21" ht="15.6">
      <c r="B96" s="11">
        <v>11</v>
      </c>
      <c r="C96" s="72" t="s">
        <v>195</v>
      </c>
      <c r="D96" s="11" t="s">
        <v>72</v>
      </c>
      <c r="E96" s="2"/>
      <c r="F96" s="12"/>
      <c r="G96" s="11"/>
      <c r="H96" s="2"/>
      <c r="I96" s="12"/>
      <c r="J96" s="11"/>
      <c r="K96" s="2"/>
      <c r="L96" s="12"/>
      <c r="M96" s="11"/>
      <c r="N96" s="2"/>
      <c r="O96" s="12"/>
      <c r="P96" s="11"/>
      <c r="Q96" s="2"/>
      <c r="R96" s="12"/>
      <c r="S96" s="11"/>
      <c r="T96" s="2"/>
      <c r="U96" s="12"/>
    </row>
    <row r="97" spans="2:21" ht="15.6">
      <c r="B97" s="11">
        <v>12</v>
      </c>
      <c r="C97" s="72" t="s">
        <v>192</v>
      </c>
      <c r="D97" s="11" t="s">
        <v>72</v>
      </c>
      <c r="E97" s="2"/>
      <c r="F97" s="12"/>
      <c r="G97" s="11"/>
      <c r="H97" s="2"/>
      <c r="I97" s="12"/>
      <c r="J97" s="11"/>
      <c r="K97" s="2"/>
      <c r="L97" s="12"/>
      <c r="M97" s="11"/>
      <c r="N97" s="2"/>
      <c r="O97" s="12"/>
      <c r="P97" s="11"/>
      <c r="Q97" s="2"/>
      <c r="R97" s="12"/>
      <c r="S97" s="11"/>
      <c r="T97" s="2"/>
      <c r="U97" s="12"/>
    </row>
    <row r="98" spans="2:21" ht="15.6">
      <c r="B98" s="11">
        <v>13</v>
      </c>
      <c r="C98" s="72" t="s">
        <v>184</v>
      </c>
      <c r="D98" s="22" t="s">
        <v>72</v>
      </c>
      <c r="E98" s="23"/>
      <c r="F98" s="24"/>
      <c r="G98" s="22"/>
      <c r="H98" s="23"/>
      <c r="I98" s="24"/>
      <c r="J98" s="22"/>
      <c r="K98" s="23"/>
      <c r="L98" s="24"/>
      <c r="M98" s="22"/>
      <c r="N98" s="23"/>
      <c r="O98" s="24"/>
      <c r="P98" s="22"/>
      <c r="Q98" s="23"/>
      <c r="R98" s="24"/>
      <c r="S98" s="22"/>
      <c r="T98" s="23"/>
      <c r="U98" s="24"/>
    </row>
    <row r="99" spans="2:21" ht="15.6">
      <c r="B99" s="11">
        <v>14</v>
      </c>
      <c r="C99" s="72" t="s">
        <v>230</v>
      </c>
      <c r="D99" s="22" t="s">
        <v>72</v>
      </c>
      <c r="E99" s="23"/>
      <c r="F99" s="24"/>
      <c r="G99" s="22"/>
      <c r="H99" s="23"/>
      <c r="I99" s="24"/>
      <c r="J99" s="22"/>
      <c r="K99" s="23"/>
      <c r="L99" s="24"/>
      <c r="M99" s="22"/>
      <c r="N99" s="23"/>
      <c r="O99" s="24"/>
      <c r="P99" s="22"/>
      <c r="Q99" s="23"/>
      <c r="R99" s="24"/>
      <c r="S99" s="22"/>
      <c r="T99" s="23"/>
      <c r="U99" s="24"/>
    </row>
    <row r="100" spans="2:21" ht="15.6">
      <c r="B100" s="11">
        <v>15</v>
      </c>
      <c r="C100" s="72" t="s">
        <v>149</v>
      </c>
      <c r="D100" s="22"/>
      <c r="E100" s="23" t="s">
        <v>72</v>
      </c>
      <c r="F100" s="24"/>
      <c r="G100" s="22"/>
      <c r="H100" s="23"/>
      <c r="I100" s="24"/>
      <c r="J100" s="22"/>
      <c r="K100" s="23"/>
      <c r="L100" s="24"/>
      <c r="M100" s="22"/>
      <c r="N100" s="23"/>
      <c r="O100" s="24"/>
      <c r="P100" s="22"/>
      <c r="Q100" s="23"/>
      <c r="R100" s="24"/>
      <c r="S100" s="22"/>
      <c r="T100" s="23"/>
      <c r="U100" s="24"/>
    </row>
    <row r="101" spans="2:21" ht="16.2" thickBot="1">
      <c r="B101" s="11">
        <v>16</v>
      </c>
      <c r="C101" s="72" t="s">
        <v>170</v>
      </c>
      <c r="D101" s="22" t="s">
        <v>72</v>
      </c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" thickBot="1">
      <c r="B102" s="142" t="s">
        <v>14</v>
      </c>
      <c r="C102" s="143"/>
      <c r="D102" s="137">
        <f>(COUNTIF(D86:D101, "X"))/((COUNTA($C$86:$C$101))-(COUNTA(F86:F101)))</f>
        <v>0.75</v>
      </c>
      <c r="E102" s="138"/>
      <c r="F102" s="139"/>
      <c r="G102" s="137">
        <f>(COUNTIF(G86:G101, "X"))/((COUNTA($C$86:$C$101))-(COUNTA(I86:I101)))</f>
        <v>0</v>
      </c>
      <c r="H102" s="138"/>
      <c r="I102" s="139"/>
      <c r="J102" s="137">
        <f>(COUNTIF(J86:J101, "X"))/((COUNTA($C$86:$C$101))-(COUNTA(L86:L101)))</f>
        <v>0</v>
      </c>
      <c r="K102" s="138"/>
      <c r="L102" s="139"/>
      <c r="M102" s="137">
        <f>(COUNTIF(M86:M101, "X"))/((COUNTA($C$23:$C$37))-(COUNTA(O86:O101)))</f>
        <v>0</v>
      </c>
      <c r="N102" s="138"/>
      <c r="O102" s="139"/>
      <c r="P102" s="137">
        <f>(COUNTIF(P86:P101, "X"))/((COUNTA($C$23:$C$37))-(COUNTA(R86:R101)))</f>
        <v>0</v>
      </c>
      <c r="Q102" s="138"/>
      <c r="R102" s="139"/>
      <c r="S102" s="137">
        <f>(COUNTIF(S86:S101, "X"))/((COUNTA($C$23:$C$37))-(COUNTA(U86:U101)))</f>
        <v>0</v>
      </c>
      <c r="T102" s="138"/>
      <c r="U102" s="139"/>
    </row>
    <row r="103" spans="2:21" ht="14.4" customHeight="1">
      <c r="B103" s="94" t="s">
        <v>188</v>
      </c>
      <c r="C103" s="94" t="s">
        <v>231</v>
      </c>
      <c r="D103" s="78">
        <v>46126</v>
      </c>
      <c r="E103" s="5"/>
      <c r="F103" s="17"/>
      <c r="G103" s="78">
        <v>46140</v>
      </c>
      <c r="H103" s="5"/>
      <c r="I103" s="17"/>
      <c r="J103" s="16"/>
      <c r="K103" s="5"/>
      <c r="L103" s="17"/>
      <c r="M103" s="16"/>
      <c r="N103" s="5"/>
      <c r="O103" s="17"/>
      <c r="P103" s="16"/>
      <c r="Q103" s="5"/>
      <c r="R103" s="17"/>
      <c r="S103" s="16"/>
      <c r="T103" s="5"/>
      <c r="U103" s="17"/>
    </row>
    <row r="104" spans="2:21" ht="15.6">
      <c r="B104" s="11">
        <v>1</v>
      </c>
      <c r="C104" s="72" t="s">
        <v>205</v>
      </c>
      <c r="D104" s="11" t="s">
        <v>72</v>
      </c>
      <c r="E104" s="2"/>
      <c r="F104" s="12"/>
      <c r="G104" s="11" t="s">
        <v>72</v>
      </c>
      <c r="H104" s="2"/>
      <c r="I104" s="12"/>
      <c r="J104" s="11"/>
      <c r="K104" s="2"/>
      <c r="L104" s="12"/>
      <c r="M104" s="11"/>
      <c r="N104" s="2"/>
      <c r="O104" s="12"/>
      <c r="P104" s="11"/>
      <c r="Q104" s="2"/>
      <c r="R104" s="12"/>
      <c r="S104" s="11"/>
      <c r="T104" s="2"/>
      <c r="U104" s="12"/>
    </row>
    <row r="105" spans="2:21" ht="15.6">
      <c r="B105" s="11">
        <v>2</v>
      </c>
      <c r="C105" s="72" t="s">
        <v>206</v>
      </c>
      <c r="D105" s="11" t="s">
        <v>72</v>
      </c>
      <c r="E105" s="2"/>
      <c r="F105" s="12"/>
      <c r="G105" s="11" t="s">
        <v>72</v>
      </c>
      <c r="H105" s="2"/>
      <c r="I105" s="12"/>
      <c r="J105" s="11"/>
      <c r="K105" s="2"/>
      <c r="L105" s="12"/>
      <c r="M105" s="11"/>
      <c r="N105" s="2"/>
      <c r="O105" s="12"/>
      <c r="P105" s="11"/>
      <c r="Q105" s="2"/>
      <c r="R105" s="12"/>
      <c r="S105" s="11"/>
      <c r="T105" s="2"/>
      <c r="U105" s="12"/>
    </row>
    <row r="106" spans="2:21" ht="15.6">
      <c r="B106" s="11">
        <v>3</v>
      </c>
      <c r="C106" s="72" t="s">
        <v>96</v>
      </c>
      <c r="D106" s="11"/>
      <c r="E106" s="2" t="s">
        <v>72</v>
      </c>
      <c r="F106" s="12"/>
      <c r="G106" s="11"/>
      <c r="H106" s="2" t="s">
        <v>72</v>
      </c>
      <c r="I106" s="12"/>
      <c r="J106" s="11"/>
      <c r="K106" s="2"/>
      <c r="L106" s="12"/>
      <c r="M106" s="11"/>
      <c r="N106" s="2"/>
      <c r="O106" s="12"/>
      <c r="P106" s="11"/>
      <c r="Q106" s="2"/>
      <c r="R106" s="12"/>
      <c r="S106" s="11"/>
      <c r="T106" s="2"/>
      <c r="U106" s="12"/>
    </row>
    <row r="107" spans="2:21" ht="15.6">
      <c r="B107" s="11">
        <v>4</v>
      </c>
      <c r="C107" s="74" t="s">
        <v>226</v>
      </c>
      <c r="D107" s="22" t="s">
        <v>72</v>
      </c>
      <c r="E107" s="23"/>
      <c r="F107" s="24"/>
      <c r="G107" s="22" t="s">
        <v>72</v>
      </c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 ht="15" customHeight="1">
      <c r="B108" s="11">
        <v>5</v>
      </c>
      <c r="C108" s="74" t="s">
        <v>227</v>
      </c>
      <c r="D108" s="22" t="s">
        <v>72</v>
      </c>
      <c r="E108" s="23"/>
      <c r="F108" s="24"/>
      <c r="G108" s="22" t="s">
        <v>72</v>
      </c>
      <c r="H108" s="23"/>
      <c r="I108" s="24"/>
      <c r="J108" s="22"/>
      <c r="K108" s="23"/>
      <c r="L108" s="24"/>
      <c r="M108" s="22"/>
      <c r="N108" s="23"/>
      <c r="O108" s="24"/>
      <c r="P108" s="22"/>
      <c r="Q108" s="23"/>
      <c r="R108" s="24"/>
      <c r="S108" s="22"/>
      <c r="T108" s="23"/>
      <c r="U108" s="24"/>
    </row>
    <row r="109" spans="2:21" ht="15.6">
      <c r="B109" s="11">
        <v>6</v>
      </c>
      <c r="C109" s="74" t="s">
        <v>125</v>
      </c>
      <c r="D109" s="22" t="s">
        <v>72</v>
      </c>
      <c r="E109" s="23"/>
      <c r="F109" s="24"/>
      <c r="G109" s="22" t="s">
        <v>72</v>
      </c>
      <c r="H109" s="23"/>
      <c r="I109" s="24"/>
      <c r="J109" s="22"/>
      <c r="K109" s="23"/>
      <c r="L109" s="24"/>
      <c r="M109" s="22"/>
      <c r="N109" s="23"/>
      <c r="O109" s="24"/>
      <c r="P109" s="22"/>
      <c r="Q109" s="23"/>
      <c r="R109" s="24"/>
      <c r="S109" s="22"/>
      <c r="T109" s="23"/>
      <c r="U109" s="24"/>
    </row>
    <row r="110" spans="2:21" ht="15.6">
      <c r="B110" s="11">
        <v>7</v>
      </c>
      <c r="C110" s="74" t="s">
        <v>119</v>
      </c>
      <c r="D110" s="22" t="s">
        <v>72</v>
      </c>
      <c r="E110" s="23"/>
      <c r="F110" s="24"/>
      <c r="G110" s="22" t="s">
        <v>72</v>
      </c>
      <c r="H110" s="23"/>
      <c r="I110" s="24"/>
      <c r="J110" s="22"/>
      <c r="K110" s="23"/>
      <c r="L110" s="24"/>
      <c r="M110" s="22"/>
      <c r="N110" s="23"/>
      <c r="O110" s="24"/>
      <c r="P110" s="22"/>
      <c r="Q110" s="23"/>
      <c r="R110" s="24"/>
      <c r="S110" s="22"/>
      <c r="T110" s="23"/>
      <c r="U110" s="24"/>
    </row>
    <row r="111" spans="2:21" ht="15.6">
      <c r="B111" s="11">
        <v>8</v>
      </c>
      <c r="C111" s="74" t="s">
        <v>224</v>
      </c>
      <c r="D111" s="22" t="s">
        <v>72</v>
      </c>
      <c r="E111" s="23"/>
      <c r="F111" s="24"/>
      <c r="G111" s="22" t="s">
        <v>72</v>
      </c>
      <c r="H111" s="23"/>
      <c r="I111" s="24"/>
      <c r="J111" s="22"/>
      <c r="K111" s="23"/>
      <c r="L111" s="24"/>
      <c r="M111" s="22"/>
      <c r="N111" s="23"/>
      <c r="O111" s="24"/>
      <c r="P111" s="22"/>
      <c r="Q111" s="23"/>
      <c r="R111" s="24"/>
      <c r="S111" s="22"/>
      <c r="T111" s="23"/>
      <c r="U111" s="24"/>
    </row>
    <row r="112" spans="2:21" ht="15.6">
      <c r="B112" s="11">
        <v>9</v>
      </c>
      <c r="C112" s="74" t="s">
        <v>207</v>
      </c>
      <c r="D112" s="22" t="s">
        <v>72</v>
      </c>
      <c r="E112" s="23"/>
      <c r="F112" s="24"/>
      <c r="G112" s="22" t="s">
        <v>72</v>
      </c>
      <c r="H112" s="23"/>
      <c r="I112" s="24"/>
      <c r="J112" s="22"/>
      <c r="K112" s="23"/>
      <c r="L112" s="24"/>
      <c r="M112" s="22"/>
      <c r="N112" s="23"/>
      <c r="O112" s="24"/>
      <c r="P112" s="22"/>
      <c r="Q112" s="23"/>
      <c r="R112" s="24"/>
      <c r="S112" s="22"/>
      <c r="T112" s="23"/>
      <c r="U112" s="24"/>
    </row>
    <row r="113" spans="2:21" ht="15.6">
      <c r="B113" s="11">
        <v>10</v>
      </c>
      <c r="C113" s="74" t="s">
        <v>225</v>
      </c>
      <c r="D113" s="22" t="s">
        <v>72</v>
      </c>
      <c r="E113" s="23"/>
      <c r="F113" s="24"/>
      <c r="G113" s="22" t="s">
        <v>72</v>
      </c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11</v>
      </c>
      <c r="C114" s="74" t="s">
        <v>208</v>
      </c>
      <c r="D114" s="22" t="s">
        <v>72</v>
      </c>
      <c r="E114" s="23"/>
      <c r="F114" s="24"/>
      <c r="G114" s="22"/>
      <c r="H114" s="23" t="s">
        <v>72</v>
      </c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12</v>
      </c>
      <c r="C115" s="74" t="s">
        <v>223</v>
      </c>
      <c r="D115" s="22" t="s">
        <v>72</v>
      </c>
      <c r="E115" s="23"/>
      <c r="F115" s="24"/>
      <c r="G115" s="22" t="s">
        <v>72</v>
      </c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6.2" thickBot="1">
      <c r="B116" s="11">
        <v>13</v>
      </c>
      <c r="C116" s="74" t="s">
        <v>180</v>
      </c>
      <c r="D116" s="22" t="s">
        <v>72</v>
      </c>
      <c r="E116" s="23"/>
      <c r="F116" s="24"/>
      <c r="G116" s="22" t="s">
        <v>72</v>
      </c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>
      <c r="B117" s="142" t="s">
        <v>14</v>
      </c>
      <c r="C117" s="143"/>
      <c r="D117" s="149">
        <f>(COUNTIF(D104:D116, "X"))/((COUNTA($C$104:$C$116))-(COUNTA(F104:F116)))</f>
        <v>0.92307692307692313</v>
      </c>
      <c r="E117" s="150"/>
      <c r="F117" s="151"/>
      <c r="G117" s="149">
        <f>(COUNTIF(G104:G116, "X"))/((COUNTA($C$104:$C$116))-(COUNTA(I104:I116)))</f>
        <v>0.84615384615384615</v>
      </c>
      <c r="H117" s="150"/>
      <c r="I117" s="151"/>
      <c r="J117" s="149">
        <f>(COUNTIF(J104:J116, "X"))/((COUNTA($C$65:$C$73))-(COUNTA(L104:L116)))</f>
        <v>0</v>
      </c>
      <c r="K117" s="150"/>
      <c r="L117" s="151"/>
      <c r="M117" s="149">
        <f>(COUNTIF(M104:M116, "X"))/((COUNTA($C$65:$C$73))-(COUNTA(O104:O116)))</f>
        <v>0</v>
      </c>
      <c r="N117" s="150"/>
      <c r="O117" s="151"/>
      <c r="P117" s="149">
        <f>(COUNTIF(P104:P116, "X"))/((COUNTA($C$65:$C$73))-(COUNTA(R104:R116)))</f>
        <v>0</v>
      </c>
      <c r="Q117" s="150"/>
      <c r="R117" s="151"/>
      <c r="S117" s="149">
        <f>(COUNTIF(S104:S116, "X"))/((COUNTA($C$65:$C$73))-(COUNTA(U104:U116)))</f>
        <v>0</v>
      </c>
      <c r="T117" s="150"/>
      <c r="U117" s="151"/>
    </row>
  </sheetData>
  <mergeCells count="64">
    <mergeCell ref="S117:U117"/>
    <mergeCell ref="B117:C117"/>
    <mergeCell ref="D117:F117"/>
    <mergeCell ref="G117:I117"/>
    <mergeCell ref="J117:L117"/>
    <mergeCell ref="M117:O117"/>
    <mergeCell ref="P117:R117"/>
    <mergeCell ref="P84:R84"/>
    <mergeCell ref="S84:U84"/>
    <mergeCell ref="B102:C102"/>
    <mergeCell ref="D102:F102"/>
    <mergeCell ref="G102:I102"/>
    <mergeCell ref="J102:L102"/>
    <mergeCell ref="M102:O102"/>
    <mergeCell ref="P102:R102"/>
    <mergeCell ref="S102:U102"/>
    <mergeCell ref="M84:O84"/>
    <mergeCell ref="B79:C79"/>
    <mergeCell ref="B84:C84"/>
    <mergeCell ref="D84:F84"/>
    <mergeCell ref="G84:I84"/>
    <mergeCell ref="J84:L84"/>
    <mergeCell ref="S63:U63"/>
    <mergeCell ref="B64:C64"/>
    <mergeCell ref="B78:C78"/>
    <mergeCell ref="D78:F78"/>
    <mergeCell ref="G78:I78"/>
    <mergeCell ref="J78:L78"/>
    <mergeCell ref="M78:O78"/>
    <mergeCell ref="P78:R78"/>
    <mergeCell ref="S78:U78"/>
    <mergeCell ref="B63:C63"/>
    <mergeCell ref="D63:F63"/>
    <mergeCell ref="G63:I63"/>
    <mergeCell ref="J63:L63"/>
    <mergeCell ref="M63:O63"/>
    <mergeCell ref="P63:R63"/>
    <mergeCell ref="S38:U38"/>
    <mergeCell ref="J57:L57"/>
    <mergeCell ref="M57:O57"/>
    <mergeCell ref="P57:R57"/>
    <mergeCell ref="S57:U57"/>
    <mergeCell ref="M38:O38"/>
    <mergeCell ref="P38:R38"/>
    <mergeCell ref="B58:C58"/>
    <mergeCell ref="B38:C38"/>
    <mergeCell ref="D38:F38"/>
    <mergeCell ref="G38:I38"/>
    <mergeCell ref="J38:L38"/>
    <mergeCell ref="S3:U4"/>
    <mergeCell ref="B5:C5"/>
    <mergeCell ref="B21:C21"/>
    <mergeCell ref="D21:F21"/>
    <mergeCell ref="G21:I21"/>
    <mergeCell ref="J21:L21"/>
    <mergeCell ref="M21:O21"/>
    <mergeCell ref="P21:R21"/>
    <mergeCell ref="S21:U21"/>
    <mergeCell ref="B3:C4"/>
    <mergeCell ref="E3:F4"/>
    <mergeCell ref="H3:I4"/>
    <mergeCell ref="K3:L4"/>
    <mergeCell ref="N3:O4"/>
    <mergeCell ref="Q3:R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60E8-4435-4C5E-B190-E6BF2007D5CA}">
  <dimension ref="B1:X120"/>
  <sheetViews>
    <sheetView showGridLines="0" zoomScale="99" zoomScaleNormal="90" workbookViewId="0">
      <pane xSplit="3" ySplit="5" topLeftCell="D20" activePane="bottomRight" state="frozen"/>
      <selection pane="topRight" activeCell="D1" sqref="D1"/>
      <selection pane="bottomLeft" activeCell="A7" sqref="A7"/>
      <selection pane="bottomRight" activeCell="G72" sqref="G72"/>
    </sheetView>
  </sheetViews>
  <sheetFormatPr baseColWidth="10" defaultRowHeight="14.4"/>
  <cols>
    <col min="1" max="1" width="3.88671875" customWidth="1"/>
    <col min="2" max="2" width="3.33203125" style="1" customWidth="1"/>
    <col min="3" max="3" width="58.77734375" customWidth="1"/>
    <col min="4" max="5" width="11.6640625" customWidth="1"/>
    <col min="6" max="6" width="10.5546875" bestFit="1" customWidth="1"/>
    <col min="7" max="7" width="11.6640625" bestFit="1" customWidth="1"/>
    <col min="8" max="9" width="11.5546875" customWidth="1"/>
    <col min="10" max="10" width="10.5546875" customWidth="1"/>
    <col min="11" max="12" width="11.5546875" customWidth="1"/>
    <col min="13" max="13" width="10.5546875" customWidth="1"/>
    <col min="14" max="15" width="11.5546875" customWidth="1"/>
    <col min="16" max="16" width="10.5546875" customWidth="1"/>
    <col min="17" max="18" width="11.5546875" customWidth="1"/>
    <col min="19" max="19" width="10.5546875" customWidth="1"/>
    <col min="20" max="21" width="11.5546875" customWidth="1"/>
  </cols>
  <sheetData>
    <row r="1" spans="2:24" ht="15" thickBot="1"/>
    <row r="2" spans="2:24">
      <c r="B2" s="117" t="s">
        <v>43</v>
      </c>
      <c r="C2" s="118"/>
      <c r="D2" s="64" t="s">
        <v>0</v>
      </c>
      <c r="E2" s="169">
        <v>46055</v>
      </c>
      <c r="F2" s="170"/>
      <c r="G2" s="64" t="s">
        <v>0</v>
      </c>
      <c r="H2" s="169">
        <v>46055</v>
      </c>
      <c r="I2" s="170"/>
      <c r="J2" s="64" t="s">
        <v>0</v>
      </c>
      <c r="K2" s="169">
        <f t="shared" ref="K2" si="0">H2+1</f>
        <v>46056</v>
      </c>
      <c r="L2" s="170"/>
      <c r="M2" s="64" t="s">
        <v>0</v>
      </c>
      <c r="N2" s="169">
        <f t="shared" ref="N2" si="1">K2+1</f>
        <v>46057</v>
      </c>
      <c r="O2" s="170"/>
      <c r="P2" s="64" t="s">
        <v>0</v>
      </c>
      <c r="Q2" s="169">
        <f t="shared" ref="Q2" si="2">N2+1</f>
        <v>46058</v>
      </c>
      <c r="R2" s="170"/>
      <c r="S2" s="158" t="s">
        <v>100</v>
      </c>
      <c r="T2" s="159"/>
      <c r="U2" s="160"/>
    </row>
    <row r="3" spans="2:24">
      <c r="B3" s="119"/>
      <c r="C3" s="120"/>
      <c r="D3" s="11" t="s">
        <v>1</v>
      </c>
      <c r="E3" s="171"/>
      <c r="F3" s="172"/>
      <c r="G3" s="11" t="s">
        <v>1</v>
      </c>
      <c r="H3" s="171"/>
      <c r="I3" s="172"/>
      <c r="J3" s="11" t="s">
        <v>1</v>
      </c>
      <c r="K3" s="171">
        <v>45916</v>
      </c>
      <c r="L3" s="172"/>
      <c r="M3" s="11" t="s">
        <v>1</v>
      </c>
      <c r="N3" s="171">
        <v>45916</v>
      </c>
      <c r="O3" s="172"/>
      <c r="P3" s="11" t="s">
        <v>1</v>
      </c>
      <c r="Q3" s="171">
        <v>45916</v>
      </c>
      <c r="R3" s="172"/>
      <c r="S3" s="161"/>
      <c r="T3" s="162"/>
      <c r="U3" s="163"/>
    </row>
    <row r="4" spans="2:24">
      <c r="B4" s="131" t="s">
        <v>131</v>
      </c>
      <c r="C4" s="132"/>
      <c r="D4" s="13" t="s">
        <v>2</v>
      </c>
      <c r="E4" s="3" t="s">
        <v>3</v>
      </c>
      <c r="F4" s="65" t="s">
        <v>4</v>
      </c>
      <c r="G4" s="13" t="s">
        <v>2</v>
      </c>
      <c r="H4" s="3" t="s">
        <v>3</v>
      </c>
      <c r="I4" s="65" t="s">
        <v>4</v>
      </c>
      <c r="J4" s="13" t="s">
        <v>2</v>
      </c>
      <c r="K4" s="3" t="s">
        <v>3</v>
      </c>
      <c r="L4" s="65" t="s">
        <v>4</v>
      </c>
      <c r="M4" s="13" t="s">
        <v>2</v>
      </c>
      <c r="N4" s="3" t="s">
        <v>3</v>
      </c>
      <c r="O4" s="65" t="s">
        <v>4</v>
      </c>
      <c r="P4" s="13" t="s">
        <v>2</v>
      </c>
      <c r="Q4" s="3" t="s">
        <v>3</v>
      </c>
      <c r="R4" s="65" t="s">
        <v>4</v>
      </c>
      <c r="S4" s="13" t="s">
        <v>2</v>
      </c>
      <c r="T4" s="3" t="s">
        <v>3</v>
      </c>
      <c r="U4" s="65" t="s">
        <v>4</v>
      </c>
    </row>
    <row r="5" spans="2:24" ht="19.95" customHeight="1">
      <c r="B5" s="80" t="s">
        <v>188</v>
      </c>
      <c r="C5" s="94" t="s">
        <v>129</v>
      </c>
      <c r="D5" s="79">
        <v>46128</v>
      </c>
      <c r="E5" s="4"/>
      <c r="F5" s="15"/>
      <c r="G5" s="79"/>
      <c r="H5" s="4"/>
      <c r="I5" s="15"/>
      <c r="J5" s="14"/>
      <c r="K5" s="4"/>
      <c r="L5" s="15"/>
      <c r="M5" s="14"/>
      <c r="N5" s="4"/>
      <c r="O5" s="15"/>
      <c r="P5" s="14"/>
      <c r="Q5" s="4"/>
      <c r="R5" s="15"/>
      <c r="S5" s="14"/>
      <c r="T5" s="4"/>
      <c r="U5" s="15"/>
      <c r="W5" t="s">
        <v>101</v>
      </c>
      <c r="X5" s="75"/>
    </row>
    <row r="6" spans="2:24" ht="16.95" customHeight="1">
      <c r="B6" s="11">
        <v>1</v>
      </c>
      <c r="C6" s="72" t="s">
        <v>127</v>
      </c>
      <c r="D6" s="11" t="s">
        <v>72</v>
      </c>
      <c r="E6" s="2"/>
      <c r="F6" s="12"/>
      <c r="G6" s="11"/>
      <c r="H6" s="2"/>
      <c r="I6" s="12"/>
      <c r="J6" s="11"/>
      <c r="K6" s="2"/>
      <c r="L6" s="12"/>
      <c r="M6" s="11"/>
      <c r="N6" s="2"/>
      <c r="O6" s="12"/>
      <c r="P6" s="11"/>
      <c r="Q6" s="2"/>
      <c r="R6" s="12"/>
      <c r="S6" s="11"/>
      <c r="T6" s="2"/>
      <c r="U6" s="12"/>
      <c r="W6" t="s">
        <v>102</v>
      </c>
      <c r="X6" s="76"/>
    </row>
    <row r="7" spans="2:24" ht="16.95" customHeight="1">
      <c r="B7" s="11">
        <v>2</v>
      </c>
      <c r="C7" s="72" t="s">
        <v>182</v>
      </c>
      <c r="D7" s="11" t="s">
        <v>72</v>
      </c>
      <c r="E7" s="2"/>
      <c r="F7" s="12"/>
      <c r="G7" s="11"/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</row>
    <row r="8" spans="2:24" ht="16.95" customHeight="1">
      <c r="B8" s="11">
        <v>3</v>
      </c>
      <c r="C8" s="72" t="s">
        <v>183</v>
      </c>
      <c r="D8" s="11" t="s">
        <v>72</v>
      </c>
      <c r="E8" s="2"/>
      <c r="F8" s="12"/>
      <c r="G8" s="11"/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6.95" customHeight="1">
      <c r="B9" s="11">
        <v>4</v>
      </c>
      <c r="C9" s="74" t="s">
        <v>126</v>
      </c>
      <c r="D9" s="11" t="s">
        <v>72</v>
      </c>
      <c r="E9" s="2"/>
      <c r="F9" s="12"/>
      <c r="G9" s="11"/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6.95" customHeight="1">
      <c r="B10" s="11">
        <v>5</v>
      </c>
      <c r="C10" s="74" t="s">
        <v>140</v>
      </c>
      <c r="D10" s="11" t="s">
        <v>72</v>
      </c>
      <c r="E10" s="2"/>
      <c r="F10" s="12"/>
      <c r="G10" s="11"/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6.95" customHeight="1">
      <c r="B11" s="11">
        <v>6</v>
      </c>
      <c r="C11" s="74" t="s">
        <v>184</v>
      </c>
      <c r="D11" s="11" t="s">
        <v>72</v>
      </c>
      <c r="E11" s="2"/>
      <c r="F11" s="12"/>
      <c r="G11" s="11"/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6.95" customHeight="1">
      <c r="B12" s="11">
        <v>7</v>
      </c>
      <c r="C12" s="74" t="s">
        <v>185</v>
      </c>
      <c r="D12" s="11" t="s">
        <v>72</v>
      </c>
      <c r="E12" s="2"/>
      <c r="F12" s="12"/>
      <c r="G12" s="11"/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6.95" customHeight="1">
      <c r="B13" s="11">
        <v>8</v>
      </c>
      <c r="C13" s="74" t="s">
        <v>186</v>
      </c>
      <c r="D13" s="11" t="s">
        <v>72</v>
      </c>
      <c r="E13" s="2"/>
      <c r="F13" s="12"/>
      <c r="G13" s="11"/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</row>
    <row r="14" spans="2:24" ht="16.95" customHeight="1">
      <c r="B14" s="11">
        <v>9</v>
      </c>
      <c r="C14" s="74" t="s">
        <v>128</v>
      </c>
      <c r="D14" s="11" t="s">
        <v>72</v>
      </c>
      <c r="E14" s="2"/>
      <c r="F14" s="12"/>
      <c r="G14" s="11"/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</row>
    <row r="15" spans="2:24" ht="16.95" customHeight="1">
      <c r="B15" s="11">
        <v>10</v>
      </c>
      <c r="C15" s="74" t="s">
        <v>165</v>
      </c>
      <c r="D15" s="22"/>
      <c r="E15" s="23"/>
      <c r="F15" s="24" t="s">
        <v>72</v>
      </c>
      <c r="G15" s="22"/>
      <c r="H15" s="23"/>
      <c r="I15" s="24"/>
      <c r="J15" s="22"/>
      <c r="K15" s="23"/>
      <c r="L15" s="24"/>
      <c r="M15" s="22"/>
      <c r="N15" s="23"/>
      <c r="O15" s="24"/>
      <c r="P15" s="22"/>
      <c r="Q15" s="23"/>
      <c r="R15" s="24"/>
      <c r="S15" s="22"/>
      <c r="T15" s="23"/>
      <c r="U15" s="24"/>
    </row>
    <row r="16" spans="2:24" ht="16.95" customHeight="1" thickBot="1">
      <c r="B16" s="11">
        <v>11</v>
      </c>
      <c r="C16" s="74" t="s">
        <v>180</v>
      </c>
      <c r="D16" s="22" t="s">
        <v>72</v>
      </c>
      <c r="E16" s="23"/>
      <c r="F16" s="24"/>
      <c r="G16" s="22"/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6.95" customHeight="1" thickBot="1">
      <c r="B17" s="135" t="s">
        <v>14</v>
      </c>
      <c r="C17" s="136"/>
      <c r="D17" s="137">
        <f>(COUNTIF(D6:D16, "X"))/((COUNTA($C$6:$C$16))-(COUNTA(F6:F16)))</f>
        <v>1</v>
      </c>
      <c r="E17" s="138"/>
      <c r="F17" s="139"/>
      <c r="G17" s="137">
        <f>(COUNTIF(G6:G16, "X"))/((COUNTA($C$6:$C$16))-(COUNTA(I6:I16)))</f>
        <v>0</v>
      </c>
      <c r="H17" s="138"/>
      <c r="I17" s="139"/>
      <c r="J17" s="137">
        <f>(COUNTIF(J6:J16, "X"))/((COUNTA($C$6:$C$16))-(COUNTA(L6:L16)))</f>
        <v>0</v>
      </c>
      <c r="K17" s="138"/>
      <c r="L17" s="139"/>
      <c r="M17" s="137">
        <f>(COUNTIF(M6:M16, "X"))/((COUNTA($C$6:$C$16))-(COUNTA(O6:O16)))</f>
        <v>0</v>
      </c>
      <c r="N17" s="138"/>
      <c r="O17" s="139"/>
      <c r="P17" s="137">
        <f>(COUNTIF(P6:P16, "X"))/((COUNTA($C$6:$C$16))-(COUNTA(R6:R16)))</f>
        <v>0</v>
      </c>
      <c r="Q17" s="138"/>
      <c r="R17" s="139"/>
      <c r="S17" s="137">
        <f>(COUNTIF(S6:S16, "X"))/((COUNTA($C$6:$C$16))-(COUNTA(U6:U16)))</f>
        <v>0</v>
      </c>
      <c r="T17" s="138"/>
      <c r="U17" s="139"/>
    </row>
    <row r="18" spans="2:21" ht="14.4" customHeight="1">
      <c r="B18" s="95" t="s">
        <v>188</v>
      </c>
      <c r="C18" s="95" t="s">
        <v>130</v>
      </c>
      <c r="D18" s="80">
        <v>46130</v>
      </c>
      <c r="E18" s="26"/>
      <c r="F18" s="27"/>
      <c r="G18" s="80"/>
      <c r="H18" s="26"/>
      <c r="I18" s="27"/>
      <c r="J18" s="25"/>
      <c r="K18" s="26"/>
      <c r="L18" s="27"/>
      <c r="M18" s="25"/>
      <c r="N18" s="26"/>
      <c r="O18" s="27"/>
      <c r="P18" s="25"/>
      <c r="Q18" s="26"/>
      <c r="R18" s="27"/>
      <c r="S18" s="25"/>
      <c r="T18" s="26"/>
      <c r="U18" s="27"/>
    </row>
    <row r="19" spans="2:21" ht="15.6">
      <c r="B19" s="11">
        <v>1</v>
      </c>
      <c r="C19" s="72" t="s">
        <v>127</v>
      </c>
      <c r="D19" s="11"/>
      <c r="E19" s="2" t="s">
        <v>72</v>
      </c>
      <c r="F19" s="12"/>
      <c r="G19" s="11"/>
      <c r="H19" s="2"/>
      <c r="I19" s="12"/>
      <c r="J19" s="11"/>
      <c r="K19" s="2"/>
      <c r="L19" s="12"/>
      <c r="M19" s="11"/>
      <c r="N19" s="2"/>
      <c r="O19" s="12"/>
      <c r="P19" s="11"/>
      <c r="Q19" s="2"/>
      <c r="R19" s="12"/>
      <c r="S19" s="11"/>
      <c r="T19" s="2"/>
      <c r="U19" s="12"/>
    </row>
    <row r="20" spans="2:21" ht="15.6">
      <c r="B20" s="11">
        <v>2</v>
      </c>
      <c r="C20" s="72" t="s">
        <v>182</v>
      </c>
      <c r="D20" s="11" t="s">
        <v>72</v>
      </c>
      <c r="E20" s="2"/>
      <c r="F20" s="12"/>
      <c r="G20" s="11"/>
      <c r="H20" s="2"/>
      <c r="I20" s="12"/>
      <c r="J20" s="11"/>
      <c r="K20" s="2"/>
      <c r="L20" s="12"/>
      <c r="M20" s="11"/>
      <c r="N20" s="2"/>
      <c r="O20" s="12"/>
      <c r="P20" s="11"/>
      <c r="Q20" s="2"/>
      <c r="R20" s="12"/>
      <c r="S20" s="11"/>
      <c r="T20" s="2"/>
      <c r="U20" s="12"/>
    </row>
    <row r="21" spans="2:21" ht="15.6">
      <c r="B21" s="11">
        <v>3</v>
      </c>
      <c r="C21" s="72" t="s">
        <v>183</v>
      </c>
      <c r="D21" s="11" t="s">
        <v>72</v>
      </c>
      <c r="E21" s="2"/>
      <c r="F21" s="12"/>
      <c r="G21" s="11"/>
      <c r="H21" s="2"/>
      <c r="I21" s="12"/>
      <c r="J21" s="11"/>
      <c r="K21" s="2"/>
      <c r="L21" s="12"/>
      <c r="M21" s="11"/>
      <c r="N21" s="2"/>
      <c r="O21" s="12"/>
      <c r="P21" s="11"/>
      <c r="Q21" s="2"/>
      <c r="R21" s="12"/>
      <c r="S21" s="11"/>
      <c r="T21" s="2"/>
      <c r="U21" s="12"/>
    </row>
    <row r="22" spans="2:21" ht="15.6">
      <c r="B22" s="11">
        <v>4</v>
      </c>
      <c r="C22" s="74" t="s">
        <v>126</v>
      </c>
      <c r="D22" s="11"/>
      <c r="E22" s="2" t="s">
        <v>72</v>
      </c>
      <c r="F22" s="12"/>
      <c r="G22" s="11"/>
      <c r="H22" s="2"/>
      <c r="I22" s="12"/>
      <c r="J22" s="11"/>
      <c r="K22" s="2"/>
      <c r="L22" s="12"/>
      <c r="M22" s="11"/>
      <c r="N22" s="2"/>
      <c r="O22" s="12"/>
      <c r="P22" s="11"/>
      <c r="Q22" s="2"/>
      <c r="R22" s="12"/>
      <c r="S22" s="11"/>
      <c r="T22" s="2"/>
      <c r="U22" s="12"/>
    </row>
    <row r="23" spans="2:21" ht="15.6">
      <c r="B23" s="11">
        <v>5</v>
      </c>
      <c r="C23" s="74" t="s">
        <v>140</v>
      </c>
      <c r="D23" s="11" t="s">
        <v>72</v>
      </c>
      <c r="E23" s="2"/>
      <c r="F23" s="12"/>
      <c r="G23" s="11"/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11">
        <v>6</v>
      </c>
      <c r="C24" s="74" t="s">
        <v>184</v>
      </c>
      <c r="D24" s="11" t="s">
        <v>72</v>
      </c>
      <c r="E24" s="2"/>
      <c r="F24" s="12"/>
      <c r="G24" s="11"/>
      <c r="H24" s="2"/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11">
        <v>7</v>
      </c>
      <c r="C25" s="74" t="s">
        <v>185</v>
      </c>
      <c r="D25" s="11" t="s">
        <v>72</v>
      </c>
      <c r="E25" s="2"/>
      <c r="F25" s="12"/>
      <c r="G25" s="11"/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11">
        <v>8</v>
      </c>
      <c r="C26" s="74" t="s">
        <v>186</v>
      </c>
      <c r="D26" s="11" t="s">
        <v>72</v>
      </c>
      <c r="E26" s="2"/>
      <c r="F26" s="12"/>
      <c r="G26" s="11"/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11">
        <v>9</v>
      </c>
      <c r="C27" s="74" t="s">
        <v>128</v>
      </c>
      <c r="D27" s="11" t="s">
        <v>72</v>
      </c>
      <c r="E27" s="2"/>
      <c r="F27" s="12"/>
      <c r="G27" s="11"/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11">
        <v>10</v>
      </c>
      <c r="C28" s="74" t="s">
        <v>180</v>
      </c>
      <c r="D28" s="22" t="s">
        <v>72</v>
      </c>
      <c r="E28" s="23"/>
      <c r="F28" s="12"/>
      <c r="G28" s="11"/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11">
        <v>11</v>
      </c>
      <c r="C29" s="74" t="s">
        <v>165</v>
      </c>
      <c r="D29" s="22" t="s">
        <v>72</v>
      </c>
      <c r="E29" s="23"/>
      <c r="F29" s="12"/>
      <c r="G29" s="11"/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11">
        <v>12</v>
      </c>
      <c r="C30" s="74" t="s">
        <v>151</v>
      </c>
      <c r="D30" s="22" t="s">
        <v>72</v>
      </c>
      <c r="E30" s="23"/>
      <c r="F30" s="12"/>
      <c r="G30" s="11"/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6.2" thickBot="1">
      <c r="B31" s="11">
        <v>13</v>
      </c>
      <c r="C31" s="71" t="s">
        <v>187</v>
      </c>
      <c r="D31" s="22"/>
      <c r="E31" s="23"/>
      <c r="F31" s="12"/>
      <c r="G31" s="11"/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" thickBot="1">
      <c r="B32" s="142" t="s">
        <v>14</v>
      </c>
      <c r="C32" s="143"/>
      <c r="D32" s="137">
        <f>(COUNTIF(D19:D31, "X"))/((COUNTA($C$19:$C$31))-(COUNTA(F19:F31)))</f>
        <v>0.76923076923076927</v>
      </c>
      <c r="E32" s="138"/>
      <c r="F32" s="139"/>
      <c r="G32" s="137">
        <f>(COUNTIF(G19:G31, "X"))/((COUNTA($C$19:$C$31))-(COUNTA(I19:I31)))</f>
        <v>0</v>
      </c>
      <c r="H32" s="138"/>
      <c r="I32" s="139"/>
      <c r="J32" s="137">
        <f>(COUNTIF(J19:J31, "X"))/((COUNTA($C$19:$C$31))-(COUNTA(L19:L31)))</f>
        <v>0</v>
      </c>
      <c r="K32" s="138"/>
      <c r="L32" s="139"/>
      <c r="M32" s="137">
        <f>(COUNTIF(M19:M31, "X"))/((COUNTA($C$19:$C$31))-(COUNTA(O19:O31)))</f>
        <v>0</v>
      </c>
      <c r="N32" s="138"/>
      <c r="O32" s="139"/>
      <c r="P32" s="137">
        <f>(COUNTIF(P19:P31, "X"))/((COUNTA($C$19:$C$31))-(COUNTA(R19:R31)))</f>
        <v>0</v>
      </c>
      <c r="Q32" s="138"/>
      <c r="R32" s="139"/>
      <c r="S32" s="137">
        <f>(COUNTIF(S19:S31, "X"))/((COUNTA($C$19:$C$31))-(COUNTA(U19:U31)))</f>
        <v>0</v>
      </c>
      <c r="T32" s="138"/>
      <c r="U32" s="139"/>
    </row>
    <row r="33" spans="2:21" ht="14.4" customHeight="1">
      <c r="B33" s="94" t="s">
        <v>188</v>
      </c>
      <c r="C33" s="94" t="s">
        <v>132</v>
      </c>
      <c r="D33" s="80">
        <v>46132</v>
      </c>
      <c r="E33" s="28"/>
      <c r="F33" s="27"/>
      <c r="G33" s="80"/>
      <c r="H33" s="28"/>
      <c r="I33" s="27"/>
      <c r="J33" s="25"/>
      <c r="K33" s="28"/>
      <c r="L33" s="27"/>
      <c r="M33" s="25"/>
      <c r="N33" s="28"/>
      <c r="O33" s="27"/>
      <c r="P33" s="25"/>
      <c r="Q33" s="28"/>
      <c r="R33" s="27"/>
      <c r="S33" s="25"/>
      <c r="T33" s="28"/>
      <c r="U33" s="27"/>
    </row>
    <row r="34" spans="2:21" ht="15.6">
      <c r="B34" s="11">
        <v>1</v>
      </c>
      <c r="C34" s="72" t="s">
        <v>127</v>
      </c>
      <c r="D34" s="11"/>
      <c r="E34" s="2" t="s">
        <v>72</v>
      </c>
      <c r="F34" s="12"/>
      <c r="G34" s="11"/>
      <c r="H34" s="2"/>
      <c r="I34" s="12"/>
      <c r="J34" s="11"/>
      <c r="K34" s="2"/>
      <c r="L34" s="12"/>
      <c r="M34" s="11"/>
      <c r="N34" s="2"/>
      <c r="O34" s="12"/>
      <c r="P34" s="11"/>
      <c r="Q34" s="2"/>
      <c r="R34" s="12"/>
      <c r="S34" s="11"/>
      <c r="T34" s="2"/>
      <c r="U34" s="12"/>
    </row>
    <row r="35" spans="2:21" ht="15.6">
      <c r="B35" s="11">
        <v>2</v>
      </c>
      <c r="C35" s="72" t="s">
        <v>182</v>
      </c>
      <c r="D35" s="11" t="s">
        <v>72</v>
      </c>
      <c r="E35" s="2"/>
      <c r="F35" s="12"/>
      <c r="G35" s="11"/>
      <c r="H35" s="2"/>
      <c r="I35" s="12"/>
      <c r="J35" s="11"/>
      <c r="K35" s="2"/>
      <c r="L35" s="12"/>
      <c r="M35" s="11"/>
      <c r="N35" s="2"/>
      <c r="O35" s="12"/>
      <c r="P35" s="11"/>
      <c r="Q35" s="2"/>
      <c r="R35" s="12"/>
      <c r="S35" s="11"/>
      <c r="T35" s="2"/>
      <c r="U35" s="12"/>
    </row>
    <row r="36" spans="2:21" ht="15.6">
      <c r="B36" s="11">
        <v>3</v>
      </c>
      <c r="C36" s="72" t="s">
        <v>133</v>
      </c>
      <c r="D36" s="93" t="s">
        <v>72</v>
      </c>
      <c r="E36" s="2"/>
      <c r="F36" s="12"/>
      <c r="G36" s="93"/>
      <c r="H36" s="2"/>
      <c r="I36" s="12"/>
      <c r="J36" s="11"/>
      <c r="K36" s="2"/>
      <c r="L36" s="12"/>
      <c r="M36" s="11"/>
      <c r="N36" s="2"/>
      <c r="O36" s="12"/>
      <c r="P36" s="11"/>
      <c r="Q36" s="2"/>
      <c r="R36" s="12"/>
      <c r="S36" s="11"/>
      <c r="T36" s="2"/>
      <c r="U36" s="12"/>
    </row>
    <row r="37" spans="2:21" ht="15.6">
      <c r="B37" s="11">
        <v>4</v>
      </c>
      <c r="C37" s="74" t="s">
        <v>126</v>
      </c>
      <c r="D37" s="11"/>
      <c r="E37" s="2" t="s">
        <v>72</v>
      </c>
      <c r="F37" s="12"/>
      <c r="G37" s="11"/>
      <c r="H37" s="2"/>
      <c r="I37" s="12"/>
      <c r="J37" s="11"/>
      <c r="K37" s="2"/>
      <c r="L37" s="12"/>
      <c r="M37" s="11"/>
      <c r="N37" s="2"/>
      <c r="O37" s="12"/>
      <c r="P37" s="11"/>
      <c r="Q37" s="2"/>
      <c r="R37" s="12"/>
      <c r="S37" s="11"/>
      <c r="T37" s="2"/>
      <c r="U37" s="12"/>
    </row>
    <row r="38" spans="2:21" ht="15.6">
      <c r="B38" s="11">
        <v>5</v>
      </c>
      <c r="C38" s="74" t="s">
        <v>219</v>
      </c>
      <c r="D38" s="11" t="s">
        <v>72</v>
      </c>
      <c r="E38" s="2"/>
      <c r="F38" s="12"/>
      <c r="G38" s="11"/>
      <c r="H38" s="2"/>
      <c r="I38" s="12"/>
      <c r="J38" s="11"/>
      <c r="K38" s="2"/>
      <c r="L38" s="12"/>
      <c r="M38" s="11"/>
      <c r="N38" s="2"/>
      <c r="O38" s="12"/>
      <c r="P38" s="11"/>
      <c r="Q38" s="2"/>
      <c r="R38" s="12"/>
      <c r="S38" s="11"/>
      <c r="T38" s="2"/>
      <c r="U38" s="12"/>
    </row>
    <row r="39" spans="2:21" ht="15.6">
      <c r="B39" s="11">
        <v>6</v>
      </c>
      <c r="C39" s="74" t="s">
        <v>173</v>
      </c>
      <c r="D39" s="11" t="s">
        <v>72</v>
      </c>
      <c r="E39" s="23"/>
      <c r="F39" s="24"/>
      <c r="G39" s="22"/>
      <c r="H39" s="23"/>
      <c r="I39" s="24"/>
      <c r="J39" s="22"/>
      <c r="K39" s="23"/>
      <c r="L39" s="24"/>
      <c r="M39" s="22"/>
      <c r="N39" s="23"/>
      <c r="O39" s="24"/>
      <c r="P39" s="22"/>
      <c r="Q39" s="23"/>
      <c r="R39" s="24"/>
      <c r="S39" s="22"/>
      <c r="T39" s="23"/>
      <c r="U39" s="24"/>
    </row>
    <row r="40" spans="2:21" ht="15.6">
      <c r="B40" s="11">
        <v>7</v>
      </c>
      <c r="C40" s="74" t="s">
        <v>185</v>
      </c>
      <c r="D40" s="11" t="s">
        <v>72</v>
      </c>
      <c r="E40" s="23"/>
      <c r="F40" s="24"/>
      <c r="G40" s="22"/>
      <c r="H40" s="23"/>
      <c r="I40" s="24"/>
      <c r="J40" s="22"/>
      <c r="K40" s="23"/>
      <c r="L40" s="24"/>
      <c r="M40" s="22"/>
      <c r="N40" s="23"/>
      <c r="O40" s="24"/>
      <c r="P40" s="22"/>
      <c r="Q40" s="23"/>
      <c r="R40" s="24"/>
      <c r="S40" s="22"/>
      <c r="T40" s="23"/>
      <c r="U40" s="24"/>
    </row>
    <row r="41" spans="2:21" ht="15.6">
      <c r="B41" s="11">
        <v>8</v>
      </c>
      <c r="C41" s="74" t="s">
        <v>186</v>
      </c>
      <c r="D41" s="11" t="s">
        <v>72</v>
      </c>
      <c r="E41" s="23"/>
      <c r="F41" s="24"/>
      <c r="G41" s="22"/>
      <c r="H41" s="23"/>
      <c r="I41" s="24"/>
      <c r="J41" s="22"/>
      <c r="K41" s="23"/>
      <c r="L41" s="24"/>
      <c r="M41" s="22"/>
      <c r="N41" s="23"/>
      <c r="O41" s="24"/>
      <c r="P41" s="22"/>
      <c r="Q41" s="23"/>
      <c r="R41" s="24"/>
      <c r="S41" s="22"/>
      <c r="T41" s="23"/>
      <c r="U41" s="24"/>
    </row>
    <row r="42" spans="2:21" ht="15.6">
      <c r="B42" s="11">
        <v>9</v>
      </c>
      <c r="C42" s="74" t="s">
        <v>128</v>
      </c>
      <c r="D42" s="11" t="s">
        <v>72</v>
      </c>
      <c r="E42" s="23"/>
      <c r="F42" s="24"/>
      <c r="G42" s="22"/>
      <c r="H42" s="23"/>
      <c r="I42" s="24"/>
      <c r="J42" s="22"/>
      <c r="K42" s="23"/>
      <c r="L42" s="24"/>
      <c r="M42" s="22"/>
      <c r="N42" s="23"/>
      <c r="O42" s="24"/>
      <c r="P42" s="22"/>
      <c r="Q42" s="23"/>
      <c r="R42" s="24"/>
      <c r="S42" s="22"/>
      <c r="T42" s="23"/>
      <c r="U42" s="24"/>
    </row>
    <row r="43" spans="2:21" ht="15.6">
      <c r="B43" s="11">
        <v>10</v>
      </c>
      <c r="C43" s="74" t="s">
        <v>163</v>
      </c>
      <c r="D43" s="11" t="s">
        <v>72</v>
      </c>
      <c r="E43" s="23"/>
      <c r="F43" s="24"/>
      <c r="G43" s="22"/>
      <c r="H43" s="23"/>
      <c r="I43" s="24"/>
      <c r="J43" s="22"/>
      <c r="K43" s="23"/>
      <c r="L43" s="24"/>
      <c r="M43" s="22"/>
      <c r="N43" s="23"/>
      <c r="O43" s="24"/>
      <c r="P43" s="22"/>
      <c r="Q43" s="23"/>
      <c r="R43" s="24"/>
      <c r="S43" s="22"/>
      <c r="T43" s="23"/>
      <c r="U43" s="24"/>
    </row>
    <row r="44" spans="2:21" ht="15.6">
      <c r="B44" s="11">
        <v>11</v>
      </c>
      <c r="C44" s="71" t="s">
        <v>164</v>
      </c>
      <c r="D44" s="93" t="s">
        <v>72</v>
      </c>
      <c r="E44" s="23"/>
      <c r="F44" s="24"/>
      <c r="G44" s="104"/>
      <c r="H44" s="23"/>
      <c r="I44" s="24"/>
      <c r="J44" s="22"/>
      <c r="K44" s="23"/>
      <c r="L44" s="24"/>
      <c r="M44" s="22"/>
      <c r="N44" s="23"/>
      <c r="O44" s="24"/>
      <c r="P44" s="22"/>
      <c r="Q44" s="23"/>
      <c r="R44" s="24"/>
      <c r="S44" s="22"/>
      <c r="T44" s="23"/>
      <c r="U44" s="24"/>
    </row>
    <row r="45" spans="2:21" ht="15.6">
      <c r="B45" s="11">
        <v>12</v>
      </c>
      <c r="C45" s="74" t="s">
        <v>165</v>
      </c>
      <c r="D45" s="11"/>
      <c r="E45" s="23"/>
      <c r="F45" s="24" t="s">
        <v>72</v>
      </c>
      <c r="G45" s="22"/>
      <c r="H45" s="23"/>
      <c r="I45" s="24"/>
      <c r="J45" s="22"/>
      <c r="K45" s="23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13</v>
      </c>
      <c r="C46" s="74" t="s">
        <v>135</v>
      </c>
      <c r="D46" s="11" t="s">
        <v>72</v>
      </c>
      <c r="E46" s="23"/>
      <c r="F46" s="24"/>
      <c r="G46" s="22"/>
      <c r="H46" s="23"/>
      <c r="I46" s="24"/>
      <c r="J46" s="22"/>
      <c r="K46" s="23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14</v>
      </c>
      <c r="C47" s="74" t="s">
        <v>136</v>
      </c>
      <c r="D47" s="11" t="s">
        <v>72</v>
      </c>
      <c r="E47" s="23"/>
      <c r="F47" s="24"/>
      <c r="G47" s="22"/>
      <c r="H47" s="23"/>
      <c r="I47" s="24"/>
      <c r="J47" s="22"/>
      <c r="K47" s="23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6.2" thickBot="1">
      <c r="B48" s="11">
        <v>15</v>
      </c>
      <c r="C48" s="71" t="s">
        <v>134</v>
      </c>
      <c r="D48" s="11"/>
      <c r="E48" s="23" t="s">
        <v>72</v>
      </c>
      <c r="F48" s="24"/>
      <c r="G48" s="22"/>
      <c r="H48" s="23"/>
      <c r="I48" s="24"/>
      <c r="J48" s="22"/>
      <c r="K48" s="23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" thickBot="1">
      <c r="B49" s="142" t="s">
        <v>14</v>
      </c>
      <c r="C49" s="143"/>
      <c r="D49" s="137">
        <f>(COUNTIF(D34:D48, "X"))/((COUNTA($C$34:$C$48))-(COUNTA(F34:F48)))</f>
        <v>0.7857142857142857</v>
      </c>
      <c r="E49" s="138"/>
      <c r="F49" s="139"/>
      <c r="G49" s="137">
        <f>(COUNTIF(G34:G48, "X"))/((COUNTA($C$34:$C$48))-(COUNTA(I34:I48)))</f>
        <v>0</v>
      </c>
      <c r="H49" s="138"/>
      <c r="I49" s="139"/>
      <c r="J49" s="137">
        <f>(COUNTIF(J34:J48, "X"))/((COUNTA($C$34:$C$48))-(COUNTA(L34:L48)))</f>
        <v>0</v>
      </c>
      <c r="K49" s="138"/>
      <c r="L49" s="139"/>
      <c r="M49" s="137">
        <f>(COUNTIF(M34:M48, "X"))/((COUNTA($C$34:$C$48))-(COUNTA(O34:O48)))</f>
        <v>0</v>
      </c>
      <c r="N49" s="138"/>
      <c r="O49" s="139"/>
      <c r="P49" s="137">
        <f>(COUNTIF(P34:P48, "X"))/((COUNTA($C$34:$C$48))-(COUNTA(R34:R48)))</f>
        <v>0</v>
      </c>
      <c r="Q49" s="138"/>
      <c r="R49" s="139"/>
      <c r="S49" s="137">
        <f>(COUNTIF(S34:S48, "X"))/((COUNTA($C$34:$C$48))-(COUNTA(U34:U48)))</f>
        <v>0</v>
      </c>
      <c r="T49" s="138"/>
      <c r="U49" s="139"/>
    </row>
    <row r="50" spans="2:21">
      <c r="B50" s="147" t="s">
        <v>141</v>
      </c>
      <c r="C50" s="148"/>
      <c r="D50" s="80">
        <v>46119</v>
      </c>
      <c r="E50" s="28"/>
      <c r="F50" s="27"/>
      <c r="G50" s="80">
        <v>46135</v>
      </c>
      <c r="H50" s="81"/>
      <c r="I50" s="27"/>
      <c r="J50" s="25"/>
      <c r="K50" s="28"/>
      <c r="L50" s="27"/>
      <c r="M50" s="25"/>
      <c r="N50" s="28"/>
      <c r="O50" s="27"/>
      <c r="P50" s="25"/>
      <c r="Q50" s="28"/>
      <c r="R50" s="27"/>
      <c r="S50" s="25"/>
      <c r="T50" s="28"/>
      <c r="U50" s="27"/>
    </row>
    <row r="51" spans="2:21" ht="15.6">
      <c r="B51" s="11">
        <v>1</v>
      </c>
      <c r="C51" s="72" t="s">
        <v>137</v>
      </c>
      <c r="D51" s="11" t="s">
        <v>72</v>
      </c>
      <c r="E51" s="2"/>
      <c r="F51" s="12"/>
      <c r="G51" s="11"/>
      <c r="H51" s="2" t="s">
        <v>72</v>
      </c>
      <c r="I51" s="12"/>
      <c r="J51" s="11"/>
      <c r="K51" s="2"/>
      <c r="L51" s="12"/>
      <c r="M51" s="11"/>
      <c r="N51" s="2"/>
      <c r="O51" s="12"/>
      <c r="P51" s="11"/>
      <c r="Q51" s="2"/>
      <c r="R51" s="12"/>
      <c r="S51" s="11"/>
      <c r="T51" s="2"/>
      <c r="U51" s="12"/>
    </row>
    <row r="52" spans="2:21" ht="15.6">
      <c r="B52" s="11">
        <v>2</v>
      </c>
      <c r="C52" s="72" t="s">
        <v>139</v>
      </c>
      <c r="D52" s="11" t="s">
        <v>72</v>
      </c>
      <c r="E52" s="2"/>
      <c r="F52" s="12"/>
      <c r="G52" s="11" t="s">
        <v>72</v>
      </c>
      <c r="H52" s="2"/>
      <c r="I52" s="12"/>
      <c r="J52" s="11"/>
      <c r="K52" s="2"/>
      <c r="L52" s="12"/>
      <c r="M52" s="11"/>
      <c r="N52" s="2"/>
      <c r="O52" s="12"/>
      <c r="P52" s="11"/>
      <c r="Q52" s="2"/>
      <c r="R52" s="12"/>
      <c r="S52" s="11"/>
      <c r="T52" s="2"/>
      <c r="U52" s="12"/>
    </row>
    <row r="53" spans="2:21" ht="15.6">
      <c r="B53" s="11">
        <v>3</v>
      </c>
      <c r="C53" s="72" t="s">
        <v>166</v>
      </c>
      <c r="D53" s="11"/>
      <c r="E53" s="2" t="s">
        <v>72</v>
      </c>
      <c r="F53" s="12"/>
      <c r="G53" s="11"/>
      <c r="H53" s="2" t="s">
        <v>72</v>
      </c>
      <c r="I53" s="12"/>
      <c r="J53" s="11"/>
      <c r="K53" s="2"/>
      <c r="L53" s="12"/>
      <c r="M53" s="11"/>
      <c r="N53" s="2"/>
      <c r="O53" s="12"/>
      <c r="P53" s="11"/>
      <c r="Q53" s="2"/>
      <c r="R53" s="12"/>
      <c r="S53" s="11"/>
      <c r="T53" s="2"/>
      <c r="U53" s="12"/>
    </row>
    <row r="54" spans="2:21" ht="15.6">
      <c r="B54" s="11">
        <v>4</v>
      </c>
      <c r="C54" s="74" t="s">
        <v>167</v>
      </c>
      <c r="D54" s="11" t="s">
        <v>72</v>
      </c>
      <c r="E54" s="2"/>
      <c r="F54" s="12"/>
      <c r="G54" s="11" t="s">
        <v>72</v>
      </c>
      <c r="H54" s="2"/>
      <c r="I54" s="12"/>
      <c r="J54" s="11"/>
      <c r="K54" s="2"/>
      <c r="L54" s="12"/>
      <c r="M54" s="11"/>
      <c r="N54" s="2"/>
      <c r="O54" s="12"/>
      <c r="P54" s="11"/>
      <c r="Q54" s="2"/>
      <c r="R54" s="12"/>
      <c r="S54" s="11"/>
      <c r="T54" s="2"/>
      <c r="U54" s="12"/>
    </row>
    <row r="55" spans="2:21" ht="15.6">
      <c r="B55" s="11">
        <v>5</v>
      </c>
      <c r="C55" s="74" t="s">
        <v>168</v>
      </c>
      <c r="D55" s="11" t="s">
        <v>72</v>
      </c>
      <c r="E55" s="2"/>
      <c r="F55" s="12"/>
      <c r="G55" s="11" t="s">
        <v>72</v>
      </c>
      <c r="H55" s="2"/>
      <c r="I55" s="12"/>
      <c r="J55" s="11"/>
      <c r="K55" s="2"/>
      <c r="L55" s="12"/>
      <c r="M55" s="11"/>
      <c r="N55" s="2"/>
      <c r="O55" s="12"/>
      <c r="P55" s="11"/>
      <c r="Q55" s="2"/>
      <c r="R55" s="12"/>
      <c r="S55" s="11"/>
      <c r="T55" s="2"/>
      <c r="U55" s="12"/>
    </row>
    <row r="56" spans="2:21" ht="15.6">
      <c r="B56" s="11">
        <v>6</v>
      </c>
      <c r="C56" s="74" t="s">
        <v>169</v>
      </c>
      <c r="D56" s="11" t="s">
        <v>72</v>
      </c>
      <c r="E56" s="2"/>
      <c r="F56" s="12"/>
      <c r="G56" s="11" t="s">
        <v>72</v>
      </c>
      <c r="H56" s="2"/>
      <c r="I56" s="12"/>
      <c r="J56" s="11"/>
      <c r="K56" s="2"/>
      <c r="L56" s="12"/>
      <c r="M56" s="11"/>
      <c r="N56" s="2"/>
      <c r="O56" s="12"/>
      <c r="P56" s="11"/>
      <c r="Q56" s="2"/>
      <c r="R56" s="12"/>
      <c r="S56" s="11"/>
      <c r="T56" s="2"/>
      <c r="U56" s="12"/>
    </row>
    <row r="57" spans="2:21" ht="15.6">
      <c r="B57" s="11">
        <v>7</v>
      </c>
      <c r="C57" s="74" t="s">
        <v>170</v>
      </c>
      <c r="D57" s="11" t="s">
        <v>72</v>
      </c>
      <c r="E57" s="2"/>
      <c r="F57" s="12"/>
      <c r="G57" s="11"/>
      <c r="H57" s="2" t="s">
        <v>72</v>
      </c>
      <c r="I57" s="12"/>
      <c r="J57" s="11"/>
      <c r="K57" s="2"/>
      <c r="L57" s="12"/>
      <c r="M57" s="11"/>
      <c r="N57" s="2" t="s">
        <v>47</v>
      </c>
      <c r="O57" s="12"/>
      <c r="P57" s="11"/>
      <c r="Q57" s="2"/>
      <c r="R57" s="12"/>
      <c r="S57" s="11"/>
      <c r="T57" s="2"/>
      <c r="U57" s="12"/>
    </row>
    <row r="58" spans="2:21" ht="15.6">
      <c r="B58" s="11">
        <v>8</v>
      </c>
      <c r="C58" s="74" t="s">
        <v>171</v>
      </c>
      <c r="D58" s="11" t="s">
        <v>72</v>
      </c>
      <c r="E58" s="2"/>
      <c r="F58" s="12"/>
      <c r="G58" s="11" t="s">
        <v>72</v>
      </c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9</v>
      </c>
      <c r="C59" s="74" t="s">
        <v>138</v>
      </c>
      <c r="D59" s="11" t="s">
        <v>72</v>
      </c>
      <c r="E59" s="2"/>
      <c r="F59" s="12"/>
      <c r="G59" s="11" t="s">
        <v>72</v>
      </c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10</v>
      </c>
      <c r="C60" s="74" t="s">
        <v>140</v>
      </c>
      <c r="D60" s="11"/>
      <c r="E60" s="2" t="s">
        <v>72</v>
      </c>
      <c r="F60" s="12"/>
      <c r="G60" s="11" t="s">
        <v>72</v>
      </c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>
      <c r="B61" s="142" t="s">
        <v>14</v>
      </c>
      <c r="C61" s="143"/>
      <c r="D61" s="144">
        <f>(COUNTIF(D51:D60, "X"))/((COUNTA($C$51:$C$60))-(COUNTA(F51:F60)))</f>
        <v>0.8</v>
      </c>
      <c r="E61" s="145"/>
      <c r="F61" s="146"/>
      <c r="G61" s="144">
        <f>(COUNTIF(G51:G60, "X"))/((COUNTA($C$51:$C$60))-(COUNTA(I51:I60)))</f>
        <v>0.7</v>
      </c>
      <c r="H61" s="145"/>
      <c r="I61" s="146"/>
      <c r="J61" s="144">
        <f>(COUNTIF(J51:J60, "X"))/((COUNTA($C$51:$C$60))-(COUNTA(L51:L60)))</f>
        <v>0</v>
      </c>
      <c r="K61" s="145"/>
      <c r="L61" s="146"/>
      <c r="M61" s="144">
        <f>(COUNTIF(M51:M60, "X"))/((COUNTA($C$51:$C$60))-(COUNTA(O51:O60)))</f>
        <v>0</v>
      </c>
      <c r="N61" s="145"/>
      <c r="O61" s="146"/>
      <c r="P61" s="144">
        <f>(COUNTIF(P51:P60, "X"))/((COUNTA($C$51:$C$60))-(COUNTA(R51:R60)))</f>
        <v>0</v>
      </c>
      <c r="Q61" s="145"/>
      <c r="R61" s="146"/>
      <c r="S61" s="144">
        <f>(COUNTIF(S51:S60, "X"))/((COUNTA($C$51:$C$60))-(COUNTA(U51:U60)))</f>
        <v>0</v>
      </c>
      <c r="T61" s="145"/>
      <c r="U61" s="146"/>
    </row>
    <row r="62" spans="2:21" ht="14.4" customHeight="1">
      <c r="B62" s="94" t="s">
        <v>188</v>
      </c>
      <c r="C62" s="94" t="s">
        <v>143</v>
      </c>
      <c r="D62" s="78"/>
      <c r="E62" s="5"/>
      <c r="F62" s="17"/>
      <c r="G62" s="16"/>
      <c r="H62" s="5"/>
      <c r="I62" s="17"/>
      <c r="J62" s="16"/>
      <c r="K62" s="5"/>
      <c r="L62" s="17"/>
      <c r="M62" s="16"/>
      <c r="N62" s="5"/>
      <c r="O62" s="17"/>
      <c r="P62" s="16"/>
      <c r="Q62" s="5"/>
      <c r="R62" s="17"/>
      <c r="S62" s="16"/>
      <c r="T62" s="5"/>
      <c r="U62" s="17"/>
    </row>
    <row r="63" spans="2:21" ht="15.6">
      <c r="B63" s="11">
        <v>1</v>
      </c>
      <c r="C63" s="72" t="s">
        <v>152</v>
      </c>
      <c r="D63" s="11" t="s">
        <v>72</v>
      </c>
      <c r="E63" s="2"/>
      <c r="F63" s="12"/>
      <c r="G63" s="11"/>
      <c r="H63" s="2"/>
      <c r="I63" s="12"/>
      <c r="J63" s="11"/>
      <c r="K63" s="2"/>
      <c r="L63" s="12"/>
      <c r="M63" s="11"/>
      <c r="N63" s="2"/>
      <c r="O63" s="12"/>
      <c r="P63" s="11"/>
      <c r="Q63" s="2"/>
      <c r="R63" s="12"/>
      <c r="S63" s="11"/>
      <c r="T63" s="2"/>
      <c r="U63" s="12"/>
    </row>
    <row r="64" spans="2:21" ht="15.6">
      <c r="B64" s="11">
        <v>2</v>
      </c>
      <c r="C64" s="72" t="s">
        <v>172</v>
      </c>
      <c r="D64" s="11" t="s">
        <v>72</v>
      </c>
      <c r="E64" s="2"/>
      <c r="F64" s="12"/>
      <c r="G64" s="11"/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3</v>
      </c>
      <c r="C65" s="72" t="s">
        <v>154</v>
      </c>
      <c r="D65" s="11" t="s">
        <v>72</v>
      </c>
      <c r="E65" s="2"/>
      <c r="F65" s="12"/>
      <c r="G65" s="11"/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4</v>
      </c>
      <c r="C66" s="72" t="s">
        <v>238</v>
      </c>
      <c r="D66" s="11" t="s">
        <v>72</v>
      </c>
      <c r="E66" s="23"/>
      <c r="F66" s="24"/>
      <c r="G66" s="22"/>
      <c r="H66" s="23"/>
      <c r="I66" s="24"/>
      <c r="J66" s="22"/>
      <c r="K66" s="23"/>
      <c r="L66" s="24"/>
      <c r="M66" s="22"/>
      <c r="N66" s="23"/>
      <c r="O66" s="24"/>
      <c r="P66" s="22"/>
      <c r="Q66" s="23"/>
      <c r="R66" s="24"/>
      <c r="S66" s="22"/>
      <c r="T66" s="23"/>
      <c r="U66" s="24"/>
    </row>
    <row r="67" spans="2:21" ht="15.6">
      <c r="B67" s="11">
        <v>5</v>
      </c>
      <c r="C67" s="72" t="s">
        <v>163</v>
      </c>
      <c r="D67" s="11" t="s">
        <v>72</v>
      </c>
      <c r="E67" s="23"/>
      <c r="F67" s="24"/>
      <c r="G67" s="22"/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6</v>
      </c>
      <c r="C68" s="72" t="s">
        <v>173</v>
      </c>
      <c r="D68" s="11"/>
      <c r="E68" s="23"/>
      <c r="F68" s="24" t="s">
        <v>72</v>
      </c>
      <c r="G68" s="22"/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7</v>
      </c>
      <c r="C69" s="72" t="s">
        <v>174</v>
      </c>
      <c r="D69" s="11"/>
      <c r="E69" s="92" t="s">
        <v>72</v>
      </c>
      <c r="F69" s="24"/>
      <c r="G69" s="22"/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8</v>
      </c>
      <c r="C70" s="72" t="s">
        <v>175</v>
      </c>
      <c r="D70" s="11" t="s">
        <v>72</v>
      </c>
      <c r="E70" s="23"/>
      <c r="F70" s="24"/>
      <c r="G70" s="22"/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9</v>
      </c>
      <c r="C71" s="72" t="s">
        <v>153</v>
      </c>
      <c r="D71" s="11"/>
      <c r="E71" s="92" t="s">
        <v>72</v>
      </c>
      <c r="F71" s="24"/>
      <c r="G71" s="22"/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10</v>
      </c>
      <c r="C72" s="72" t="s">
        <v>176</v>
      </c>
      <c r="D72" s="11"/>
      <c r="E72" s="23" t="s">
        <v>72</v>
      </c>
      <c r="F72" s="24"/>
      <c r="G72" s="22"/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11</v>
      </c>
      <c r="C73" s="72" t="s">
        <v>155</v>
      </c>
      <c r="D73" s="11" t="s">
        <v>72</v>
      </c>
      <c r="E73" s="23"/>
      <c r="F73" s="24"/>
      <c r="G73" s="22"/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177</v>
      </c>
      <c r="D74" s="11" t="s">
        <v>72</v>
      </c>
      <c r="E74" s="23"/>
      <c r="F74" s="24"/>
      <c r="G74" s="22"/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6.2" thickBot="1">
      <c r="B75" s="11">
        <v>13</v>
      </c>
      <c r="C75" s="72" t="s">
        <v>160</v>
      </c>
      <c r="D75" s="11" t="s">
        <v>72</v>
      </c>
      <c r="E75" s="23"/>
      <c r="F75" s="24"/>
      <c r="G75" s="22"/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>
      <c r="B76" s="142" t="s">
        <v>14</v>
      </c>
      <c r="C76" s="143"/>
      <c r="D76" s="149">
        <f>(COUNTIF(D63:D75, "X"))/((COUNTA($C$63:$C$75))-(COUNTA(F63:F75)))</f>
        <v>0.75</v>
      </c>
      <c r="E76" s="150"/>
      <c r="F76" s="151"/>
      <c r="G76" s="149">
        <f>(COUNTIF(G63:G75, "X"))/((COUNTA($C$63:$C$72))-(COUNTA(I63:I75)))</f>
        <v>0</v>
      </c>
      <c r="H76" s="150"/>
      <c r="I76" s="151"/>
      <c r="J76" s="149">
        <f>(COUNTIF(J63:J75, "X"))/((COUNTA($C$63:$C$72))-(COUNTA(L63:L75)))</f>
        <v>0</v>
      </c>
      <c r="K76" s="150"/>
      <c r="L76" s="151"/>
      <c r="M76" s="149">
        <f>(COUNTIF(M63:M75, "X"))/((COUNTA($C$63:$C$72))-(COUNTA(O63:O75)))</f>
        <v>0</v>
      </c>
      <c r="N76" s="150"/>
      <c r="O76" s="151"/>
      <c r="P76" s="149">
        <f>(COUNTIF(P63:P75, "X"))/((COUNTA($C$63:$C$72))-(COUNTA(R63:R75)))</f>
        <v>0</v>
      </c>
      <c r="Q76" s="150"/>
      <c r="R76" s="151"/>
      <c r="S76" s="149">
        <f>(COUNTIF(S63:S75, "X"))/((COUNTA($C$63:$C$72))-(COUNTA(U63:U75)))</f>
        <v>0</v>
      </c>
      <c r="T76" s="150"/>
      <c r="U76" s="151"/>
    </row>
    <row r="77" spans="2:21" ht="15" customHeight="1" thickBot="1">
      <c r="B77" s="94" t="s">
        <v>188</v>
      </c>
      <c r="C77" s="94" t="s">
        <v>144</v>
      </c>
      <c r="D77" s="98">
        <v>46107</v>
      </c>
      <c r="E77" s="33"/>
      <c r="F77" s="34"/>
      <c r="G77" s="32"/>
      <c r="H77" s="33"/>
      <c r="I77" s="34"/>
      <c r="J77" s="32"/>
      <c r="K77" s="33"/>
      <c r="L77" s="34"/>
      <c r="M77" s="32"/>
      <c r="N77" s="33"/>
      <c r="O77" s="34"/>
      <c r="P77" s="32"/>
      <c r="Q77" s="33"/>
      <c r="R77" s="34"/>
      <c r="S77" s="32"/>
      <c r="T77" s="33"/>
      <c r="U77" s="34"/>
    </row>
    <row r="78" spans="2:21" ht="15.6">
      <c r="B78" s="11">
        <v>1</v>
      </c>
      <c r="C78" s="72" t="s">
        <v>156</v>
      </c>
      <c r="D78" s="29"/>
      <c r="E78" s="30"/>
      <c r="F78" s="31"/>
      <c r="G78" s="29"/>
      <c r="H78" s="30"/>
      <c r="I78" s="31"/>
      <c r="J78" s="29"/>
      <c r="K78" s="30"/>
      <c r="L78" s="31"/>
      <c r="M78" s="29"/>
      <c r="N78" s="30"/>
      <c r="O78" s="31"/>
      <c r="P78" s="29"/>
      <c r="Q78" s="30"/>
      <c r="R78" s="31"/>
      <c r="S78" s="29"/>
      <c r="T78" s="30"/>
      <c r="U78" s="31"/>
    </row>
    <row r="79" spans="2:21" ht="15.6">
      <c r="B79" s="11">
        <v>2</v>
      </c>
      <c r="C79" s="72" t="s">
        <v>157</v>
      </c>
      <c r="D79" s="29"/>
      <c r="E79" s="2"/>
      <c r="F79" s="12"/>
      <c r="G79" s="11"/>
      <c r="H79" s="2"/>
      <c r="I79" s="12"/>
      <c r="J79" s="11"/>
      <c r="K79" s="2"/>
      <c r="L79" s="12"/>
      <c r="M79" s="11"/>
      <c r="N79" s="2"/>
      <c r="O79" s="12"/>
      <c r="P79" s="11"/>
      <c r="Q79" s="2"/>
      <c r="R79" s="12"/>
      <c r="S79" s="11"/>
      <c r="T79" s="2"/>
      <c r="U79" s="12"/>
    </row>
    <row r="80" spans="2:21" ht="15.6">
      <c r="B80" s="11">
        <v>3</v>
      </c>
      <c r="C80" s="72" t="s">
        <v>173</v>
      </c>
      <c r="D80" s="29"/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4</v>
      </c>
      <c r="C81" s="72" t="s">
        <v>178</v>
      </c>
      <c r="D81" s="29"/>
      <c r="E81" s="23"/>
      <c r="F81" s="24"/>
      <c r="G81" s="22"/>
      <c r="H81" s="23"/>
      <c r="I81" s="24"/>
      <c r="J81" s="22"/>
      <c r="K81" s="23"/>
      <c r="L81" s="24"/>
      <c r="M81" s="22"/>
      <c r="N81" s="23"/>
      <c r="O81" s="24"/>
      <c r="P81" s="22"/>
      <c r="Q81" s="23"/>
      <c r="R81" s="24"/>
      <c r="S81" s="22"/>
      <c r="T81" s="23"/>
      <c r="U81" s="24"/>
    </row>
    <row r="82" spans="2:21" ht="15.6">
      <c r="B82" s="11">
        <v>5</v>
      </c>
      <c r="C82" s="72" t="s">
        <v>179</v>
      </c>
      <c r="D82" s="29"/>
      <c r="E82" s="2"/>
      <c r="F82" s="12"/>
      <c r="G82" s="11"/>
      <c r="H82" s="2"/>
      <c r="I82" s="12"/>
      <c r="J82" s="11"/>
      <c r="K82" s="2"/>
      <c r="L82" s="12"/>
      <c r="M82" s="11"/>
      <c r="N82" s="2"/>
      <c r="O82" s="12"/>
      <c r="P82" s="11"/>
      <c r="Q82" s="2"/>
      <c r="R82" s="12"/>
      <c r="S82" s="11"/>
      <c r="T82" s="2"/>
      <c r="U82" s="12"/>
    </row>
    <row r="83" spans="2:21" ht="15.6">
      <c r="B83" s="11">
        <v>6</v>
      </c>
      <c r="C83" s="72" t="s">
        <v>158</v>
      </c>
      <c r="D83" s="29"/>
      <c r="E83" s="2"/>
      <c r="F83" s="12"/>
      <c r="G83" s="11"/>
      <c r="H83" s="2"/>
      <c r="I83" s="12"/>
      <c r="J83" s="11"/>
      <c r="K83" s="2"/>
      <c r="L83" s="12"/>
      <c r="M83" s="11"/>
      <c r="N83" s="2"/>
      <c r="O83" s="12"/>
      <c r="P83" s="11"/>
      <c r="Q83" s="2"/>
      <c r="R83" s="12"/>
      <c r="S83" s="11"/>
      <c r="T83" s="2"/>
      <c r="U83" s="12"/>
    </row>
    <row r="84" spans="2:21" ht="15.6">
      <c r="B84" s="11">
        <v>7</v>
      </c>
      <c r="C84" s="72" t="s">
        <v>222</v>
      </c>
      <c r="D84" s="29"/>
      <c r="E84" s="2"/>
      <c r="F84" s="12"/>
      <c r="G84" s="11"/>
      <c r="H84" s="2"/>
      <c r="I84" s="12"/>
      <c r="J84" s="11"/>
      <c r="K84" s="2"/>
      <c r="L84" s="12"/>
      <c r="M84" s="11"/>
      <c r="N84" s="2"/>
      <c r="O84" s="12"/>
      <c r="P84" s="11"/>
      <c r="Q84" s="2"/>
      <c r="R84" s="12"/>
      <c r="S84" s="11"/>
      <c r="T84" s="2"/>
      <c r="U84" s="12"/>
    </row>
    <row r="85" spans="2:21" ht="15.6">
      <c r="B85" s="11">
        <v>8</v>
      </c>
      <c r="C85" s="72" t="s">
        <v>181</v>
      </c>
      <c r="D85" s="29"/>
      <c r="E85" s="2"/>
      <c r="F85" s="12"/>
      <c r="G85" s="11"/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9</v>
      </c>
      <c r="C86" s="72" t="s">
        <v>213</v>
      </c>
      <c r="D86" s="29"/>
      <c r="E86" s="2"/>
      <c r="F86" s="12"/>
      <c r="G86" s="11"/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10</v>
      </c>
      <c r="C87" s="72" t="s">
        <v>214</v>
      </c>
      <c r="D87" s="29"/>
      <c r="E87" s="2"/>
      <c r="F87" s="12"/>
      <c r="G87" s="11"/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11</v>
      </c>
      <c r="C88" s="72" t="s">
        <v>162</v>
      </c>
      <c r="D88" s="29"/>
      <c r="E88" s="2"/>
      <c r="F88" s="12"/>
      <c r="G88" s="11"/>
      <c r="H88" s="2"/>
      <c r="I88" s="12"/>
      <c r="J88" s="11"/>
      <c r="K88" s="2"/>
      <c r="L88" s="12">
        <v>0</v>
      </c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12</v>
      </c>
      <c r="C89" s="72" t="s">
        <v>215</v>
      </c>
      <c r="D89" s="29"/>
      <c r="E89" s="2"/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13</v>
      </c>
      <c r="C90" s="72" t="s">
        <v>218</v>
      </c>
      <c r="D90" s="29"/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14</v>
      </c>
      <c r="C91" s="72" t="s">
        <v>216</v>
      </c>
      <c r="D91" s="29"/>
      <c r="E91" s="2"/>
      <c r="F91" s="12"/>
      <c r="G91" s="11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15</v>
      </c>
      <c r="C92" s="72" t="s">
        <v>217</v>
      </c>
      <c r="D92" s="29"/>
      <c r="E92" s="2"/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16</v>
      </c>
      <c r="C93" s="72" t="s">
        <v>204</v>
      </c>
      <c r="D93" s="29"/>
      <c r="E93" s="23"/>
      <c r="F93" s="24"/>
      <c r="G93" s="22"/>
      <c r="H93" s="23"/>
      <c r="I93" s="24"/>
      <c r="J93" s="22"/>
      <c r="K93" s="23"/>
      <c r="L93" s="24"/>
      <c r="M93" s="22"/>
      <c r="N93" s="23"/>
      <c r="O93" s="24"/>
      <c r="P93" s="22"/>
      <c r="Q93" s="23"/>
      <c r="R93" s="24"/>
      <c r="S93" s="22"/>
      <c r="T93" s="23"/>
      <c r="U93" s="24"/>
    </row>
    <row r="94" spans="2:21" ht="15.6">
      <c r="B94" s="11">
        <v>17</v>
      </c>
      <c r="C94" s="72" t="s">
        <v>221</v>
      </c>
      <c r="D94" s="29"/>
      <c r="E94" s="23"/>
      <c r="F94" s="24"/>
      <c r="G94" s="22"/>
      <c r="H94" s="23"/>
      <c r="I94" s="24"/>
      <c r="J94" s="22"/>
      <c r="K94" s="23"/>
      <c r="L94" s="24"/>
      <c r="M94" s="22"/>
      <c r="N94" s="23"/>
      <c r="O94" s="24"/>
      <c r="P94" s="22"/>
      <c r="Q94" s="23"/>
      <c r="R94" s="24"/>
      <c r="S94" s="22"/>
      <c r="T94" s="23"/>
      <c r="U94" s="24"/>
    </row>
    <row r="95" spans="2:21" ht="16.2" thickBot="1">
      <c r="B95" s="11">
        <v>18</v>
      </c>
      <c r="C95" s="72" t="s">
        <v>220</v>
      </c>
      <c r="D95" s="29"/>
      <c r="E95" s="23"/>
      <c r="F95" s="24"/>
      <c r="G95" s="22"/>
      <c r="H95" s="23"/>
      <c r="I95" s="24"/>
      <c r="J95" s="22"/>
      <c r="K95" s="23"/>
      <c r="L95" s="24"/>
      <c r="M95" s="22"/>
      <c r="N95" s="23"/>
      <c r="O95" s="24"/>
      <c r="P95" s="22"/>
      <c r="Q95" s="23"/>
      <c r="R95" s="24"/>
      <c r="S95" s="22"/>
      <c r="T95" s="23"/>
      <c r="U95" s="24"/>
    </row>
    <row r="96" spans="2:21" ht="15" thickBot="1">
      <c r="B96" s="142" t="s">
        <v>14</v>
      </c>
      <c r="C96" s="143"/>
      <c r="D96" s="137">
        <f>(COUNTIF(D78:D95, "X"))/((COUNTA($C$78:$C$95))-(COUNTA(F78:F95)))</f>
        <v>0</v>
      </c>
      <c r="E96" s="138"/>
      <c r="F96" s="139"/>
      <c r="G96" s="137">
        <f>(COUNTIF(G82:G95, "X"))/((COUNTA($C$82:$C$95))-(COUNTA(I82:I95)))</f>
        <v>0</v>
      </c>
      <c r="H96" s="138"/>
      <c r="I96" s="139"/>
      <c r="J96" s="137">
        <f>(COUNTIF(J82:J95, "X"))/((COUNTA($C$19:$C$31))-(COUNTA(L82:L95)))</f>
        <v>0</v>
      </c>
      <c r="K96" s="138"/>
      <c r="L96" s="139"/>
      <c r="M96" s="137">
        <f>(COUNTIF(M82:M95, "X"))/((COUNTA($C$19:$C$31))-(COUNTA(O82:O95)))</f>
        <v>0</v>
      </c>
      <c r="N96" s="138"/>
      <c r="O96" s="139"/>
      <c r="P96" s="137">
        <f>(COUNTIF(P82:P95, "X"))/((COUNTA($C$19:$C$31))-(COUNTA(R82:R95)))</f>
        <v>0</v>
      </c>
      <c r="Q96" s="138"/>
      <c r="R96" s="139"/>
      <c r="S96" s="137">
        <f>(COUNTIF(S82:S95, "X"))/((COUNTA($C$19:$C$31))-(COUNTA(U82:U95)))</f>
        <v>0</v>
      </c>
      <c r="T96" s="138"/>
      <c r="U96" s="139"/>
    </row>
    <row r="97" spans="2:21">
      <c r="B97" s="147"/>
      <c r="C97" s="148"/>
      <c r="D97" s="16"/>
      <c r="E97" s="5"/>
      <c r="F97" s="17"/>
      <c r="G97" s="16"/>
      <c r="H97" s="5"/>
      <c r="I97" s="17"/>
      <c r="J97" s="16"/>
      <c r="K97" s="5"/>
      <c r="L97" s="17"/>
      <c r="M97" s="16"/>
      <c r="N97" s="5"/>
      <c r="O97" s="17"/>
      <c r="P97" s="16"/>
      <c r="Q97" s="5"/>
      <c r="R97" s="17"/>
      <c r="S97" s="16"/>
      <c r="T97" s="5"/>
      <c r="U97" s="17"/>
    </row>
    <row r="98" spans="2:21" ht="15.6">
      <c r="B98" s="11">
        <v>1</v>
      </c>
      <c r="C98" s="72"/>
      <c r="D98" s="11"/>
      <c r="E98" s="2"/>
      <c r="F98" s="12"/>
      <c r="G98" s="11"/>
      <c r="H98" s="2"/>
      <c r="I98" s="12"/>
      <c r="J98" s="11"/>
      <c r="K98" s="2"/>
      <c r="L98" s="12"/>
      <c r="M98" s="11"/>
      <c r="N98" s="2"/>
      <c r="O98" s="12"/>
      <c r="P98" s="11"/>
      <c r="Q98" s="2"/>
      <c r="R98" s="12"/>
      <c r="S98" s="11"/>
      <c r="T98" s="2"/>
      <c r="U98" s="12"/>
    </row>
    <row r="99" spans="2:21" ht="15.6">
      <c r="B99" s="11">
        <v>2</v>
      </c>
      <c r="C99" s="72"/>
      <c r="D99" s="11"/>
      <c r="E99" s="2"/>
      <c r="F99" s="12"/>
      <c r="G99" s="11"/>
      <c r="H99" s="2"/>
      <c r="I99" s="12"/>
      <c r="J99" s="11"/>
      <c r="K99" s="2"/>
      <c r="L99" s="12"/>
      <c r="M99" s="11"/>
      <c r="N99" s="2"/>
      <c r="O99" s="12"/>
      <c r="P99" s="11"/>
      <c r="Q99" s="2"/>
      <c r="R99" s="12"/>
      <c r="S99" s="11"/>
      <c r="T99" s="2"/>
      <c r="U99" s="12"/>
    </row>
    <row r="100" spans="2:21" ht="15.6">
      <c r="B100" s="11">
        <v>3</v>
      </c>
      <c r="C100" s="72"/>
      <c r="D100" s="11"/>
      <c r="E100" s="2"/>
      <c r="F100" s="12"/>
      <c r="G100" s="11"/>
      <c r="H100" s="2"/>
      <c r="I100" s="12"/>
      <c r="J100" s="11"/>
      <c r="K100" s="2"/>
      <c r="L100" s="12"/>
      <c r="M100" s="11"/>
      <c r="N100" s="2"/>
      <c r="O100" s="12"/>
      <c r="P100" s="11"/>
      <c r="Q100" s="2"/>
      <c r="R100" s="12"/>
      <c r="S100" s="11"/>
      <c r="T100" s="2"/>
      <c r="U100" s="12"/>
    </row>
    <row r="101" spans="2:21" ht="15.6">
      <c r="B101" s="11">
        <v>4</v>
      </c>
      <c r="C101" s="74"/>
      <c r="D101" s="22"/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.6">
      <c r="B102" s="11">
        <v>5</v>
      </c>
      <c r="C102" s="74"/>
      <c r="D102" s="22"/>
      <c r="E102" s="23"/>
      <c r="F102" s="24"/>
      <c r="G102" s="22"/>
      <c r="H102" s="23"/>
      <c r="I102" s="24"/>
      <c r="J102" s="22"/>
      <c r="K102" s="23"/>
      <c r="L102" s="24"/>
      <c r="M102" s="22"/>
      <c r="N102" s="23"/>
      <c r="O102" s="24"/>
      <c r="P102" s="22"/>
      <c r="Q102" s="23"/>
      <c r="R102" s="24"/>
      <c r="S102" s="22"/>
      <c r="T102" s="23"/>
      <c r="U102" s="24"/>
    </row>
    <row r="103" spans="2:21" ht="15.6">
      <c r="B103" s="11">
        <v>6</v>
      </c>
      <c r="C103" s="74"/>
      <c r="D103" s="22"/>
      <c r="E103" s="23"/>
      <c r="F103" s="24"/>
      <c r="G103" s="22"/>
      <c r="H103" s="23"/>
      <c r="I103" s="24"/>
      <c r="J103" s="22"/>
      <c r="K103" s="23"/>
      <c r="L103" s="24"/>
      <c r="M103" s="22"/>
      <c r="N103" s="23"/>
      <c r="O103" s="24"/>
      <c r="P103" s="22"/>
      <c r="Q103" s="23"/>
      <c r="R103" s="24"/>
      <c r="S103" s="22"/>
      <c r="T103" s="23"/>
      <c r="U103" s="24"/>
    </row>
    <row r="104" spans="2:21" ht="15.6">
      <c r="B104" s="11">
        <v>7</v>
      </c>
      <c r="C104" s="74"/>
      <c r="D104" s="22"/>
      <c r="E104" s="23"/>
      <c r="F104" s="24"/>
      <c r="G104" s="22"/>
      <c r="H104" s="23"/>
      <c r="I104" s="24"/>
      <c r="J104" s="22"/>
      <c r="K104" s="23"/>
      <c r="L104" s="24"/>
      <c r="M104" s="22"/>
      <c r="N104" s="23"/>
      <c r="O104" s="24"/>
      <c r="P104" s="22"/>
      <c r="Q104" s="23"/>
      <c r="R104" s="24"/>
      <c r="S104" s="22"/>
      <c r="T104" s="23"/>
      <c r="U104" s="24"/>
    </row>
    <row r="105" spans="2:21" ht="15.6">
      <c r="B105" s="11">
        <v>8</v>
      </c>
      <c r="C105" s="74"/>
      <c r="D105" s="22"/>
      <c r="E105" s="23"/>
      <c r="F105" s="24"/>
      <c r="G105" s="22"/>
      <c r="H105" s="23"/>
      <c r="I105" s="24"/>
      <c r="J105" s="22"/>
      <c r="K105" s="23"/>
      <c r="L105" s="24"/>
      <c r="M105" s="22"/>
      <c r="N105" s="23"/>
      <c r="O105" s="24"/>
      <c r="P105" s="22"/>
      <c r="Q105" s="23"/>
      <c r="R105" s="24"/>
      <c r="S105" s="22"/>
      <c r="T105" s="23"/>
      <c r="U105" s="24"/>
    </row>
    <row r="106" spans="2:21" ht="15.6">
      <c r="B106" s="11">
        <v>9</v>
      </c>
      <c r="C106" s="74"/>
      <c r="D106" s="22"/>
      <c r="E106" s="23"/>
      <c r="F106" s="24"/>
      <c r="G106" s="22"/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6.2" thickBot="1">
      <c r="B107" s="11">
        <v>10</v>
      </c>
      <c r="C107" s="74"/>
      <c r="D107" s="22"/>
      <c r="E107" s="23"/>
      <c r="F107" s="24"/>
      <c r="G107" s="22"/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>
      <c r="B108" s="142" t="s">
        <v>14</v>
      </c>
      <c r="C108" s="143"/>
      <c r="D108" s="149">
        <f>(COUNTIF(D98:D107, "X"))/((COUNTA($C$63:$C$72))-(COUNTA(F98:F107)))</f>
        <v>0</v>
      </c>
      <c r="E108" s="150"/>
      <c r="F108" s="151"/>
      <c r="G108" s="149">
        <f>(COUNTIF(G98:G107, "X"))/((COUNTA($C$63:$C$72))-(COUNTA(I98:I107)))</f>
        <v>0</v>
      </c>
      <c r="H108" s="150"/>
      <c r="I108" s="151"/>
      <c r="J108" s="149">
        <f>(COUNTIF(J98:J107, "X"))/((COUNTA($C$63:$C$72))-(COUNTA(L98:L107)))</f>
        <v>0</v>
      </c>
      <c r="K108" s="150"/>
      <c r="L108" s="151"/>
      <c r="M108" s="149">
        <f>(COUNTIF(M98:M107, "X"))/((COUNTA($C$63:$C$72))-(COUNTA(O98:O107)))</f>
        <v>0</v>
      </c>
      <c r="N108" s="150"/>
      <c r="O108" s="151"/>
      <c r="P108" s="149">
        <f>(COUNTIF(P98:P107, "X"))/((COUNTA($C$63:$C$72))-(COUNTA(R98:R107)))</f>
        <v>0</v>
      </c>
      <c r="Q108" s="150"/>
      <c r="R108" s="151"/>
      <c r="S108" s="149">
        <f>(COUNTIF(S98:S107, "X"))/((COUNTA($C$63:$C$72))-(COUNTA(U98:U107)))</f>
        <v>0</v>
      </c>
      <c r="T108" s="150"/>
      <c r="U108" s="151"/>
    </row>
    <row r="109" spans="2:21">
      <c r="B109" s="147" t="s">
        <v>129</v>
      </c>
      <c r="C109" s="148"/>
      <c r="D109" s="16"/>
      <c r="E109" s="5"/>
      <c r="F109" s="17"/>
      <c r="G109" s="16"/>
      <c r="H109" s="5"/>
      <c r="I109" s="17"/>
      <c r="J109" s="16"/>
      <c r="K109" s="5"/>
      <c r="L109" s="17"/>
      <c r="M109" s="16"/>
      <c r="N109" s="5"/>
      <c r="O109" s="17"/>
      <c r="P109" s="16"/>
      <c r="Q109" s="5"/>
      <c r="R109" s="17"/>
      <c r="S109" s="16"/>
      <c r="T109" s="5"/>
      <c r="U109" s="17"/>
    </row>
    <row r="110" spans="2:21" ht="15.6">
      <c r="B110" s="11">
        <v>1</v>
      </c>
      <c r="C110" s="72"/>
      <c r="D110" s="11"/>
      <c r="E110" s="2"/>
      <c r="F110" s="12"/>
      <c r="G110" s="11"/>
      <c r="H110" s="2"/>
      <c r="I110" s="12"/>
      <c r="J110" s="11"/>
      <c r="K110" s="2"/>
      <c r="L110" s="12"/>
      <c r="M110" s="11"/>
      <c r="N110" s="2"/>
      <c r="O110" s="12"/>
      <c r="P110" s="11"/>
      <c r="Q110" s="2"/>
      <c r="R110" s="12"/>
      <c r="S110" s="11"/>
      <c r="T110" s="2"/>
      <c r="U110" s="12"/>
    </row>
    <row r="111" spans="2:21" ht="15.6">
      <c r="B111" s="11">
        <v>2</v>
      </c>
      <c r="C111" s="72"/>
      <c r="D111" s="11"/>
      <c r="E111" s="2"/>
      <c r="F111" s="12"/>
      <c r="G111" s="11"/>
      <c r="H111" s="2"/>
      <c r="I111" s="12"/>
      <c r="J111" s="11"/>
      <c r="K111" s="2"/>
      <c r="L111" s="12"/>
      <c r="M111" s="11"/>
      <c r="N111" s="2"/>
      <c r="O111" s="12"/>
      <c r="P111" s="11"/>
      <c r="Q111" s="2"/>
      <c r="R111" s="12"/>
      <c r="S111" s="11"/>
      <c r="T111" s="2"/>
      <c r="U111" s="12"/>
    </row>
    <row r="112" spans="2:21" ht="15.6">
      <c r="B112" s="11">
        <v>3</v>
      </c>
      <c r="C112" s="72"/>
      <c r="D112" s="11"/>
      <c r="E112" s="2"/>
      <c r="F112" s="12"/>
      <c r="G112" s="11"/>
      <c r="H112" s="2"/>
      <c r="I112" s="12"/>
      <c r="J112" s="11"/>
      <c r="K112" s="2"/>
      <c r="L112" s="12"/>
      <c r="M112" s="11"/>
      <c r="N112" s="2"/>
      <c r="O112" s="12"/>
      <c r="P112" s="11"/>
      <c r="Q112" s="2"/>
      <c r="R112" s="12"/>
      <c r="S112" s="11"/>
      <c r="T112" s="2"/>
      <c r="U112" s="12"/>
    </row>
    <row r="113" spans="2:21" ht="15.6">
      <c r="B113" s="11">
        <v>4</v>
      </c>
      <c r="C113" s="74"/>
      <c r="D113" s="22"/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5</v>
      </c>
      <c r="C114" s="74"/>
      <c r="D114" s="22"/>
      <c r="E114" s="23"/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6</v>
      </c>
      <c r="C115" s="74"/>
      <c r="D115" s="22"/>
      <c r="E115" s="23"/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5.6">
      <c r="B116" s="11">
        <v>7</v>
      </c>
      <c r="C116" s="74"/>
      <c r="D116" s="22"/>
      <c r="E116" s="23"/>
      <c r="F116" s="24"/>
      <c r="G116" s="22"/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 ht="15.6">
      <c r="B117" s="11">
        <v>8</v>
      </c>
      <c r="C117" s="74"/>
      <c r="D117" s="22"/>
      <c r="E117" s="23"/>
      <c r="F117" s="24"/>
      <c r="G117" s="22"/>
      <c r="H117" s="23"/>
      <c r="I117" s="24"/>
      <c r="J117" s="22"/>
      <c r="K117" s="23"/>
      <c r="L117" s="24"/>
      <c r="M117" s="22"/>
      <c r="N117" s="23"/>
      <c r="O117" s="24"/>
      <c r="P117" s="22"/>
      <c r="Q117" s="23"/>
      <c r="R117" s="24"/>
      <c r="S117" s="22"/>
      <c r="T117" s="23"/>
      <c r="U117" s="24"/>
    </row>
    <row r="118" spans="2:21" ht="15.6">
      <c r="B118" s="11">
        <v>9</v>
      </c>
      <c r="C118" s="74"/>
      <c r="D118" s="22"/>
      <c r="E118" s="23"/>
      <c r="F118" s="24"/>
      <c r="G118" s="22"/>
      <c r="H118" s="23"/>
      <c r="I118" s="24"/>
      <c r="J118" s="22"/>
      <c r="K118" s="23"/>
      <c r="L118" s="24"/>
      <c r="M118" s="22"/>
      <c r="N118" s="23"/>
      <c r="O118" s="24"/>
      <c r="P118" s="22"/>
      <c r="Q118" s="23"/>
      <c r="R118" s="24"/>
      <c r="S118" s="22"/>
      <c r="T118" s="23"/>
      <c r="U118" s="24"/>
    </row>
    <row r="119" spans="2:21" ht="16.2" thickBot="1">
      <c r="B119" s="11">
        <v>10</v>
      </c>
      <c r="C119" s="74"/>
      <c r="D119" s="22"/>
      <c r="E119" s="23"/>
      <c r="F119" s="24"/>
      <c r="G119" s="22"/>
      <c r="H119" s="23"/>
      <c r="I119" s="24"/>
      <c r="J119" s="22"/>
      <c r="K119" s="23"/>
      <c r="L119" s="24"/>
      <c r="M119" s="22"/>
      <c r="N119" s="23"/>
      <c r="O119" s="24"/>
      <c r="P119" s="22"/>
      <c r="Q119" s="23"/>
      <c r="R119" s="24"/>
      <c r="S119" s="22"/>
      <c r="T119" s="23"/>
      <c r="U119" s="24"/>
    </row>
    <row r="120" spans="2:21">
      <c r="B120" s="142" t="s">
        <v>14</v>
      </c>
      <c r="C120" s="143"/>
      <c r="D120" s="149">
        <f>(COUNTIF(D110:D119, "X"))/((COUNTA($C$63:$C$72))-(COUNTA(F110:F119)))</f>
        <v>0</v>
      </c>
      <c r="E120" s="150"/>
      <c r="F120" s="151"/>
      <c r="G120" s="149">
        <f>(COUNTIF(G110:G119, "X"))/((COUNTA($C$63:$C$72))-(COUNTA(I110:I119)))</f>
        <v>0</v>
      </c>
      <c r="H120" s="150"/>
      <c r="I120" s="151"/>
      <c r="J120" s="149">
        <f>(COUNTIF(J110:J119, "X"))/((COUNTA($C$63:$C$72))-(COUNTA(L110:L119)))</f>
        <v>0</v>
      </c>
      <c r="K120" s="150"/>
      <c r="L120" s="151"/>
      <c r="M120" s="149">
        <f>(COUNTIF(M110:M119, "X"))/((COUNTA($C$63:$C$72))-(COUNTA(O110:O119)))</f>
        <v>0</v>
      </c>
      <c r="N120" s="150"/>
      <c r="O120" s="151"/>
      <c r="P120" s="149">
        <f>(COUNTIF(P110:P119, "X"))/((COUNTA($C$63:$C$72))-(COUNTA(R110:R119)))</f>
        <v>0</v>
      </c>
      <c r="Q120" s="150"/>
      <c r="R120" s="151"/>
      <c r="S120" s="149">
        <f>(COUNTIF(S110:S119, "X"))/((COUNTA($C$63:$C$72))-(COUNTA(U110:U119)))</f>
        <v>0</v>
      </c>
      <c r="T120" s="150"/>
      <c r="U120" s="151"/>
    </row>
  </sheetData>
  <mergeCells count="67">
    <mergeCell ref="P120:R120"/>
    <mergeCell ref="S120:U120"/>
    <mergeCell ref="B109:C109"/>
    <mergeCell ref="B120:C120"/>
    <mergeCell ref="D120:F120"/>
    <mergeCell ref="G120:I120"/>
    <mergeCell ref="J120:L120"/>
    <mergeCell ref="M120:O120"/>
    <mergeCell ref="S96:U96"/>
    <mergeCell ref="B97:C97"/>
    <mergeCell ref="B108:C108"/>
    <mergeCell ref="D108:F108"/>
    <mergeCell ref="G108:I108"/>
    <mergeCell ref="J108:L108"/>
    <mergeCell ref="M108:O108"/>
    <mergeCell ref="P108:R108"/>
    <mergeCell ref="S108:U108"/>
    <mergeCell ref="B96:C96"/>
    <mergeCell ref="D96:F96"/>
    <mergeCell ref="G96:I96"/>
    <mergeCell ref="J96:L96"/>
    <mergeCell ref="M96:O96"/>
    <mergeCell ref="P96:R96"/>
    <mergeCell ref="P61:R61"/>
    <mergeCell ref="S61:U61"/>
    <mergeCell ref="B76:C76"/>
    <mergeCell ref="D76:F76"/>
    <mergeCell ref="G76:I76"/>
    <mergeCell ref="J76:L76"/>
    <mergeCell ref="M76:O76"/>
    <mergeCell ref="P76:R76"/>
    <mergeCell ref="S76:U76"/>
    <mergeCell ref="M61:O61"/>
    <mergeCell ref="B50:C50"/>
    <mergeCell ref="B61:C61"/>
    <mergeCell ref="D61:F61"/>
    <mergeCell ref="G61:I61"/>
    <mergeCell ref="J61:L61"/>
    <mergeCell ref="S32:U32"/>
    <mergeCell ref="B49:C49"/>
    <mergeCell ref="D49:F49"/>
    <mergeCell ref="G49:I49"/>
    <mergeCell ref="J49:L49"/>
    <mergeCell ref="M49:O49"/>
    <mergeCell ref="P49:R49"/>
    <mergeCell ref="S49:U49"/>
    <mergeCell ref="B32:C32"/>
    <mergeCell ref="D32:F32"/>
    <mergeCell ref="G32:I32"/>
    <mergeCell ref="J32:L32"/>
    <mergeCell ref="M32:O32"/>
    <mergeCell ref="P32:R32"/>
    <mergeCell ref="S2:U3"/>
    <mergeCell ref="B4:C4"/>
    <mergeCell ref="B17:C17"/>
    <mergeCell ref="D17:F17"/>
    <mergeCell ref="G17:I17"/>
    <mergeCell ref="J17:L17"/>
    <mergeCell ref="M17:O17"/>
    <mergeCell ref="P17:R17"/>
    <mergeCell ref="S17:U17"/>
    <mergeCell ref="B2:C3"/>
    <mergeCell ref="E2:F3"/>
    <mergeCell ref="H2:I3"/>
    <mergeCell ref="K2:L3"/>
    <mergeCell ref="N2:O3"/>
    <mergeCell ref="Q2:R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846B-508B-4A97-9489-3A0D2AF24550}">
  <dimension ref="B2:X119"/>
  <sheetViews>
    <sheetView tabSelected="1" zoomScale="91" zoomScaleNormal="90" workbookViewId="0">
      <pane xSplit="3" ySplit="6" topLeftCell="D9" activePane="bottomRight" state="frozen"/>
      <selection pane="topRight" activeCell="D1" sqref="D1"/>
      <selection pane="bottomLeft" activeCell="A7" sqref="A7"/>
      <selection pane="bottomRight" activeCell="E5" sqref="E5"/>
    </sheetView>
  </sheetViews>
  <sheetFormatPr baseColWidth="10" defaultRowHeight="14.4"/>
  <cols>
    <col min="2" max="2" width="3.33203125" style="1" customWidth="1"/>
    <col min="3" max="3" width="58.44140625" bestFit="1" customWidth="1"/>
    <col min="4" max="4" width="11.44140625" customWidth="1"/>
    <col min="5" max="5" width="11.33203125" customWidth="1"/>
    <col min="6" max="6" width="15.44140625" customWidth="1"/>
    <col min="7" max="7" width="11.33203125" customWidth="1"/>
    <col min="8" max="8" width="10.77734375" customWidth="1"/>
    <col min="9" max="9" width="11" customWidth="1"/>
    <col min="10" max="10" width="10.77734375" bestFit="1" customWidth="1"/>
    <col min="11" max="11" width="8" bestFit="1" customWidth="1"/>
    <col min="12" max="12" width="8.6640625" customWidth="1"/>
    <col min="14" max="14" width="9.109375" customWidth="1"/>
    <col min="15" max="15" width="8.33203125" customWidth="1"/>
    <col min="16" max="21" width="8.6640625" customWidth="1"/>
  </cols>
  <sheetData>
    <row r="2" spans="2:24" ht="15" thickBot="1"/>
    <row r="3" spans="2:24">
      <c r="B3" s="117" t="s">
        <v>43</v>
      </c>
      <c r="C3" s="118"/>
      <c r="D3" s="64" t="s">
        <v>0</v>
      </c>
      <c r="E3" s="169">
        <v>46143</v>
      </c>
      <c r="F3" s="170"/>
      <c r="G3" s="64" t="s">
        <v>0</v>
      </c>
      <c r="H3" s="169">
        <v>46144</v>
      </c>
      <c r="I3" s="170"/>
      <c r="J3" s="64" t="s">
        <v>0</v>
      </c>
      <c r="K3" s="169">
        <f>H3+1</f>
        <v>46145</v>
      </c>
      <c r="L3" s="170"/>
      <c r="M3" s="64" t="s">
        <v>0</v>
      </c>
      <c r="N3" s="169">
        <f t="shared" ref="N3" si="0">K3+1</f>
        <v>46146</v>
      </c>
      <c r="O3" s="170"/>
      <c r="P3" s="64" t="s">
        <v>0</v>
      </c>
      <c r="Q3" s="169">
        <f t="shared" ref="Q3" si="1">N3+1</f>
        <v>46147</v>
      </c>
      <c r="R3" s="170"/>
      <c r="S3" s="158" t="s">
        <v>100</v>
      </c>
      <c r="T3" s="159"/>
      <c r="U3" s="160"/>
    </row>
    <row r="4" spans="2:24">
      <c r="B4" s="119"/>
      <c r="C4" s="120"/>
      <c r="D4" s="11" t="s">
        <v>1</v>
      </c>
      <c r="E4" s="171"/>
      <c r="F4" s="172"/>
      <c r="G4" s="11" t="s">
        <v>1</v>
      </c>
      <c r="H4" s="171">
        <v>45916</v>
      </c>
      <c r="I4" s="172"/>
      <c r="J4" s="11" t="s">
        <v>1</v>
      </c>
      <c r="K4" s="171">
        <v>45916</v>
      </c>
      <c r="L4" s="172"/>
      <c r="M4" s="11" t="s">
        <v>1</v>
      </c>
      <c r="N4" s="171">
        <v>45916</v>
      </c>
      <c r="O4" s="172"/>
      <c r="P4" s="11" t="s">
        <v>1</v>
      </c>
      <c r="Q4" s="171">
        <v>45916</v>
      </c>
      <c r="R4" s="172"/>
      <c r="S4" s="161"/>
      <c r="T4" s="162"/>
      <c r="U4" s="163"/>
    </row>
    <row r="5" spans="2:24" ht="28.8">
      <c r="B5" s="131"/>
      <c r="C5" s="132"/>
      <c r="D5" s="13" t="s">
        <v>2</v>
      </c>
      <c r="E5" s="3" t="s">
        <v>3</v>
      </c>
      <c r="F5" s="65" t="s">
        <v>4</v>
      </c>
      <c r="G5" s="13" t="s">
        <v>2</v>
      </c>
      <c r="H5" s="3" t="s">
        <v>3</v>
      </c>
      <c r="I5" s="65" t="s">
        <v>4</v>
      </c>
      <c r="J5" s="13" t="s">
        <v>2</v>
      </c>
      <c r="K5" s="3" t="s">
        <v>3</v>
      </c>
      <c r="L5" s="65" t="s">
        <v>4</v>
      </c>
      <c r="M5" s="13" t="s">
        <v>2</v>
      </c>
      <c r="N5" s="3" t="s">
        <v>3</v>
      </c>
      <c r="O5" s="65" t="s">
        <v>4</v>
      </c>
      <c r="P5" s="13" t="s">
        <v>2</v>
      </c>
      <c r="Q5" s="3" t="s">
        <v>3</v>
      </c>
      <c r="R5" s="65" t="s">
        <v>4</v>
      </c>
      <c r="S5" s="13" t="s">
        <v>2</v>
      </c>
      <c r="T5" s="3" t="s">
        <v>3</v>
      </c>
      <c r="U5" s="65" t="s">
        <v>4</v>
      </c>
    </row>
    <row r="6" spans="2:24">
      <c r="B6" s="14" t="s">
        <v>188</v>
      </c>
      <c r="C6" s="14" t="s">
        <v>89</v>
      </c>
      <c r="D6" s="79">
        <v>46148</v>
      </c>
      <c r="E6" s="4"/>
      <c r="F6" s="15"/>
      <c r="G6" s="79"/>
      <c r="H6" s="4"/>
      <c r="I6" s="15"/>
      <c r="J6" s="79"/>
      <c r="K6" s="4"/>
      <c r="L6" s="15"/>
      <c r="M6" s="14"/>
      <c r="N6" s="4"/>
      <c r="O6" s="15"/>
      <c r="P6" s="14"/>
      <c r="Q6" s="4"/>
      <c r="R6" s="15"/>
      <c r="S6" s="14"/>
      <c r="T6" s="4"/>
      <c r="U6" s="15"/>
      <c r="W6" t="s">
        <v>101</v>
      </c>
      <c r="X6" s="75"/>
    </row>
    <row r="7" spans="2:24" ht="15.6">
      <c r="B7" s="84">
        <v>1</v>
      </c>
      <c r="C7" s="72" t="s">
        <v>77</v>
      </c>
      <c r="D7" s="11"/>
      <c r="E7" s="2" t="s">
        <v>72</v>
      </c>
      <c r="F7" s="12"/>
      <c r="G7" s="11"/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  <c r="W7" t="s">
        <v>102</v>
      </c>
      <c r="X7" s="76"/>
    </row>
    <row r="8" spans="2:24" ht="15.6">
      <c r="B8" s="84">
        <v>2</v>
      </c>
      <c r="C8" s="72" t="s">
        <v>78</v>
      </c>
      <c r="D8" s="11" t="s">
        <v>72</v>
      </c>
      <c r="E8" s="2"/>
      <c r="F8" s="12"/>
      <c r="G8" s="11"/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5.6">
      <c r="B9" s="84">
        <v>3</v>
      </c>
      <c r="C9" s="72" t="s">
        <v>79</v>
      </c>
      <c r="D9" s="11" t="s">
        <v>72</v>
      </c>
      <c r="E9" s="2"/>
      <c r="F9" s="12"/>
      <c r="G9" s="93"/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5.6">
      <c r="B10" s="84">
        <v>4</v>
      </c>
      <c r="C10" s="72" t="s">
        <v>80</v>
      </c>
      <c r="D10" s="11"/>
      <c r="E10" s="2" t="s">
        <v>72</v>
      </c>
      <c r="F10" s="12"/>
      <c r="G10" s="11"/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5.6">
      <c r="B11" s="84">
        <v>5</v>
      </c>
      <c r="C11" s="72" t="s">
        <v>189</v>
      </c>
      <c r="D11" s="11" t="s">
        <v>72</v>
      </c>
      <c r="E11" s="2"/>
      <c r="F11" s="12"/>
      <c r="G11" s="93"/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5.6">
      <c r="B12" s="84">
        <v>6</v>
      </c>
      <c r="C12" s="72" t="s">
        <v>81</v>
      </c>
      <c r="D12" s="11" t="s">
        <v>72</v>
      </c>
      <c r="E12" s="2"/>
      <c r="F12" s="12"/>
      <c r="G12" s="11"/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5.6">
      <c r="B13" s="84">
        <v>7</v>
      </c>
      <c r="C13" s="72" t="s">
        <v>82</v>
      </c>
      <c r="D13" s="11" t="s">
        <v>72</v>
      </c>
      <c r="E13" s="2"/>
      <c r="F13" s="12"/>
      <c r="G13" s="93"/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  <c r="X13">
        <v>43</v>
      </c>
    </row>
    <row r="14" spans="2:24" ht="15.6">
      <c r="B14" s="84">
        <v>8</v>
      </c>
      <c r="C14" s="72" t="s">
        <v>190</v>
      </c>
      <c r="D14" s="11" t="s">
        <v>72</v>
      </c>
      <c r="E14" s="2"/>
      <c r="F14" s="12"/>
      <c r="G14" s="11"/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  <c r="X14">
        <v>64</v>
      </c>
    </row>
    <row r="15" spans="2:24" ht="15.6">
      <c r="B15" s="84">
        <v>9</v>
      </c>
      <c r="C15" s="72" t="s">
        <v>170</v>
      </c>
      <c r="D15" s="11" t="s">
        <v>72</v>
      </c>
      <c r="E15" s="2"/>
      <c r="F15" s="12"/>
      <c r="G15" s="11"/>
      <c r="H15" s="22"/>
      <c r="I15" s="12"/>
      <c r="J15" s="11"/>
      <c r="K15" s="2"/>
      <c r="L15" s="12"/>
      <c r="M15" s="11"/>
      <c r="N15" s="2"/>
      <c r="O15" s="12"/>
      <c r="P15" s="11"/>
      <c r="Q15" s="2"/>
      <c r="R15" s="12"/>
      <c r="S15" s="11"/>
      <c r="T15" s="2"/>
      <c r="U15" s="12"/>
    </row>
    <row r="16" spans="2:24" ht="15.6">
      <c r="B16" s="84">
        <v>10</v>
      </c>
      <c r="C16" s="72" t="s">
        <v>111</v>
      </c>
      <c r="D16" s="22"/>
      <c r="E16" s="23" t="s">
        <v>72</v>
      </c>
      <c r="F16" s="24"/>
      <c r="G16" s="106"/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5.6">
      <c r="B17" s="84">
        <v>11</v>
      </c>
      <c r="C17" s="72" t="s">
        <v>191</v>
      </c>
      <c r="D17" s="22" t="s">
        <v>72</v>
      </c>
      <c r="E17" s="23"/>
      <c r="F17" s="24"/>
      <c r="G17" s="22"/>
      <c r="H17" s="23"/>
      <c r="I17" s="24"/>
      <c r="J17" s="22"/>
      <c r="K17" s="23"/>
      <c r="L17" s="24"/>
      <c r="M17" s="22"/>
      <c r="N17" s="23"/>
      <c r="O17" s="24"/>
      <c r="P17" s="22"/>
      <c r="Q17" s="23"/>
      <c r="R17" s="24"/>
      <c r="S17" s="22"/>
      <c r="T17" s="23"/>
      <c r="U17" s="24"/>
    </row>
    <row r="18" spans="2:21" ht="15.6">
      <c r="B18" s="84">
        <v>12</v>
      </c>
      <c r="C18" s="72" t="s">
        <v>192</v>
      </c>
      <c r="D18" s="22" t="s">
        <v>72</v>
      </c>
      <c r="E18" s="23"/>
      <c r="F18" s="24"/>
      <c r="G18" s="22"/>
      <c r="H18" s="23"/>
      <c r="I18" s="24"/>
      <c r="J18" s="22"/>
      <c r="K18" s="23"/>
      <c r="L18" s="24"/>
      <c r="M18" s="22"/>
      <c r="N18" s="23"/>
      <c r="O18" s="24"/>
      <c r="P18" s="22"/>
      <c r="Q18" s="23"/>
      <c r="R18" s="24"/>
      <c r="S18" s="22"/>
      <c r="T18" s="23"/>
      <c r="U18" s="24"/>
    </row>
    <row r="19" spans="2:21" ht="15.6">
      <c r="B19" s="84">
        <v>13</v>
      </c>
      <c r="C19" s="72" t="s">
        <v>193</v>
      </c>
      <c r="D19" s="22" t="s">
        <v>72</v>
      </c>
      <c r="E19" s="23"/>
      <c r="F19" s="24"/>
      <c r="G19" s="22"/>
      <c r="H19" s="23"/>
      <c r="I19" s="24"/>
      <c r="J19" s="22"/>
      <c r="K19" s="23"/>
      <c r="L19" s="24"/>
      <c r="M19" s="22"/>
      <c r="N19" s="23"/>
      <c r="O19" s="24"/>
      <c r="P19" s="22"/>
      <c r="Q19" s="23"/>
      <c r="R19" s="24"/>
      <c r="S19" s="22"/>
      <c r="T19" s="23"/>
      <c r="U19" s="24"/>
    </row>
    <row r="20" spans="2:21" ht="15.6">
      <c r="B20" s="84">
        <v>14</v>
      </c>
      <c r="C20" s="72" t="s">
        <v>240</v>
      </c>
      <c r="D20" s="22" t="s">
        <v>72</v>
      </c>
      <c r="E20" s="23"/>
      <c r="F20" s="24"/>
      <c r="G20" s="22"/>
      <c r="H20" s="23"/>
      <c r="I20" s="24"/>
      <c r="J20" s="22"/>
      <c r="K20" s="23"/>
      <c r="L20" s="24"/>
      <c r="M20" s="22"/>
      <c r="N20" s="23"/>
      <c r="O20" s="24"/>
      <c r="P20" s="22"/>
      <c r="Q20" s="23"/>
      <c r="R20" s="24"/>
      <c r="S20" s="22"/>
      <c r="T20" s="23"/>
      <c r="U20" s="24"/>
    </row>
    <row r="21" spans="2:21" ht="15.6">
      <c r="B21" s="84">
        <v>15</v>
      </c>
      <c r="C21" s="72" t="s">
        <v>239</v>
      </c>
      <c r="D21" s="22"/>
      <c r="E21" s="23" t="s">
        <v>72</v>
      </c>
      <c r="F21" s="24"/>
      <c r="G21" s="22"/>
      <c r="H21" s="23"/>
      <c r="I21" s="24"/>
      <c r="J21" s="22"/>
      <c r="K21" s="23"/>
      <c r="L21" s="24"/>
      <c r="M21" s="22"/>
      <c r="N21" s="23"/>
      <c r="O21" s="24"/>
      <c r="P21" s="22"/>
      <c r="Q21" s="23"/>
      <c r="R21" s="24"/>
      <c r="S21" s="22"/>
      <c r="T21" s="23"/>
      <c r="U21" s="24"/>
    </row>
    <row r="22" spans="2:21" ht="16.2" thickBot="1">
      <c r="B22" s="84">
        <v>16</v>
      </c>
      <c r="C22" s="72" t="s">
        <v>184</v>
      </c>
      <c r="D22" s="22" t="s">
        <v>72</v>
      </c>
      <c r="E22" s="23"/>
      <c r="F22" s="24"/>
      <c r="G22" s="22"/>
      <c r="H22" s="23"/>
      <c r="I22" s="24"/>
      <c r="J22" s="22"/>
      <c r="K22" s="23"/>
      <c r="L22" s="24"/>
      <c r="M22" s="22"/>
      <c r="N22" s="23"/>
      <c r="O22" s="24"/>
      <c r="P22" s="22"/>
      <c r="Q22" s="23"/>
      <c r="R22" s="24"/>
      <c r="S22" s="22"/>
      <c r="T22" s="23"/>
      <c r="U22" s="24"/>
    </row>
    <row r="23" spans="2:21" ht="15" thickBot="1">
      <c r="B23" s="164" t="s">
        <v>14</v>
      </c>
      <c r="C23" s="165"/>
      <c r="D23" s="137">
        <f>(COUNTIF(D7:D22, "X"))/((COUNTA($C$7:$C$22))-(COUNTA(F7:F22)))</f>
        <v>0.75</v>
      </c>
      <c r="E23" s="138"/>
      <c r="F23" s="139"/>
      <c r="G23" s="137">
        <f>(COUNTIF(G7:G22, "X"))/((COUNTA($C$7:$C$22))-(COUNTA(I7:I22)))</f>
        <v>0</v>
      </c>
      <c r="H23" s="138"/>
      <c r="I23" s="139"/>
      <c r="J23" s="137">
        <f>(COUNTIF(J7:J22, "X"))/((COUNTA($C$7:$C$22))-(COUNTA(L7:L22)))</f>
        <v>0</v>
      </c>
      <c r="K23" s="138"/>
      <c r="L23" s="139"/>
      <c r="M23" s="137">
        <f>(COUNTIF(M7:M22, "X"))/((COUNTA($C$7:$C$22))-(COUNTA(O7:O22)))</f>
        <v>0</v>
      </c>
      <c r="N23" s="138"/>
      <c r="O23" s="139"/>
      <c r="P23" s="137">
        <f>(COUNTIF(P7:P22, "X"))/((COUNTA($C$7:$C$22))-(COUNTA(R7:R22)))</f>
        <v>0</v>
      </c>
      <c r="Q23" s="138"/>
      <c r="R23" s="139"/>
      <c r="S23" s="137">
        <f>(COUNTIF(S7:S22, "X"))/((COUNTA($C$7:$C$22))-(COUNTA(U7:U22)))</f>
        <v>0</v>
      </c>
      <c r="T23" s="138"/>
      <c r="U23" s="139"/>
    </row>
    <row r="24" spans="2:21">
      <c r="B24" s="96" t="s">
        <v>188</v>
      </c>
      <c r="C24" s="96" t="s">
        <v>48</v>
      </c>
      <c r="D24" s="88">
        <v>46151</v>
      </c>
      <c r="E24" s="83" t="s">
        <v>241</v>
      </c>
      <c r="F24" s="27"/>
      <c r="G24" s="80"/>
      <c r="H24" s="26"/>
      <c r="I24" s="27"/>
      <c r="J24" s="25"/>
      <c r="K24" s="26"/>
      <c r="L24" s="27"/>
      <c r="M24" s="25"/>
      <c r="N24" s="26"/>
      <c r="O24" s="27"/>
      <c r="P24" s="25"/>
      <c r="Q24" s="26"/>
      <c r="R24" s="27"/>
      <c r="S24" s="25"/>
      <c r="T24" s="26"/>
      <c r="U24" s="27"/>
    </row>
    <row r="25" spans="2:21" ht="15.6">
      <c r="B25" s="84">
        <v>1</v>
      </c>
      <c r="C25" s="72" t="s">
        <v>83</v>
      </c>
      <c r="D25" s="84" t="s">
        <v>72</v>
      </c>
      <c r="E25" s="85"/>
      <c r="F25" s="12"/>
      <c r="G25" s="11"/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84">
        <v>2</v>
      </c>
      <c r="C26" s="72" t="s">
        <v>84</v>
      </c>
      <c r="D26" s="84" t="s">
        <v>72</v>
      </c>
      <c r="E26" s="85"/>
      <c r="F26" s="12"/>
      <c r="G26" s="11"/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84">
        <v>3</v>
      </c>
      <c r="C27" s="72" t="s">
        <v>147</v>
      </c>
      <c r="D27" s="84" t="s">
        <v>72</v>
      </c>
      <c r="E27" s="85"/>
      <c r="F27" s="12"/>
      <c r="G27" s="11"/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84">
        <v>4</v>
      </c>
      <c r="C28" s="72" t="s">
        <v>148</v>
      </c>
      <c r="D28" s="84"/>
      <c r="E28" s="85" t="s">
        <v>72</v>
      </c>
      <c r="F28" s="12"/>
      <c r="G28" s="11"/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84">
        <v>5</v>
      </c>
      <c r="C29" s="72" t="s">
        <v>194</v>
      </c>
      <c r="D29" s="84" t="s">
        <v>72</v>
      </c>
      <c r="E29" s="85"/>
      <c r="F29" s="12"/>
      <c r="G29" s="11"/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84">
        <v>6</v>
      </c>
      <c r="C30" s="72" t="s">
        <v>85</v>
      </c>
      <c r="D30" s="84" t="s">
        <v>72</v>
      </c>
      <c r="E30" s="85"/>
      <c r="F30" s="12"/>
      <c r="G30" s="11"/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5.6">
      <c r="B31" s="84">
        <v>7</v>
      </c>
      <c r="C31" s="72" t="s">
        <v>86</v>
      </c>
      <c r="D31" s="84" t="s">
        <v>72</v>
      </c>
      <c r="E31" s="85"/>
      <c r="F31" s="12"/>
      <c r="G31" s="93"/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.6">
      <c r="B32" s="84">
        <v>8</v>
      </c>
      <c r="C32" s="72" t="s">
        <v>87</v>
      </c>
      <c r="D32" s="84" t="s">
        <v>72</v>
      </c>
      <c r="E32" s="85"/>
      <c r="F32" s="12"/>
      <c r="G32" s="11"/>
      <c r="H32" s="2"/>
      <c r="I32" s="12"/>
      <c r="J32" s="11"/>
      <c r="K32" s="2"/>
      <c r="L32" s="12"/>
      <c r="M32" s="11"/>
      <c r="N32" s="2"/>
      <c r="O32" s="12"/>
      <c r="P32" s="11"/>
      <c r="Q32" s="2"/>
      <c r="R32" s="12"/>
      <c r="S32" s="11"/>
      <c r="T32" s="2"/>
      <c r="U32" s="12"/>
    </row>
    <row r="33" spans="2:21" ht="15.6">
      <c r="B33" s="84">
        <v>9</v>
      </c>
      <c r="C33" s="72" t="s">
        <v>88</v>
      </c>
      <c r="D33" s="84" t="s">
        <v>72</v>
      </c>
      <c r="E33" s="85"/>
      <c r="F33" s="12"/>
      <c r="G33" s="11"/>
      <c r="H33" s="2"/>
      <c r="I33" s="12"/>
      <c r="J33" s="11"/>
      <c r="K33" s="2"/>
      <c r="L33" s="12"/>
      <c r="M33" s="11"/>
      <c r="N33" s="2"/>
      <c r="O33" s="12"/>
      <c r="P33" s="11"/>
      <c r="Q33" s="2"/>
      <c r="R33" s="12"/>
      <c r="S33" s="11"/>
      <c r="T33" s="2"/>
      <c r="U33" s="12"/>
    </row>
    <row r="34" spans="2:21" ht="15.6">
      <c r="B34" s="84">
        <v>10</v>
      </c>
      <c r="C34" s="72" t="s">
        <v>195</v>
      </c>
      <c r="D34" s="84" t="s">
        <v>72</v>
      </c>
      <c r="E34" s="85"/>
      <c r="F34" s="12"/>
      <c r="G34" s="93"/>
      <c r="H34" s="2"/>
      <c r="I34" s="12"/>
      <c r="J34" s="11"/>
      <c r="K34" s="2"/>
      <c r="L34" s="12"/>
      <c r="M34" s="11"/>
      <c r="N34" s="2"/>
      <c r="O34" s="12"/>
      <c r="P34" s="11"/>
      <c r="Q34" s="2"/>
      <c r="R34" s="12"/>
      <c r="S34" s="11"/>
      <c r="T34" s="2"/>
      <c r="U34" s="12"/>
    </row>
    <row r="35" spans="2:21" ht="15.6">
      <c r="B35" s="84">
        <v>11</v>
      </c>
      <c r="C35" s="72" t="s">
        <v>192</v>
      </c>
      <c r="D35" s="84" t="s">
        <v>72</v>
      </c>
      <c r="E35" s="85"/>
      <c r="F35" s="12"/>
      <c r="G35" s="11"/>
      <c r="H35" s="2"/>
      <c r="I35" s="12"/>
      <c r="J35" s="11"/>
      <c r="K35" s="2"/>
      <c r="L35" s="12"/>
      <c r="M35" s="11"/>
      <c r="N35" s="2"/>
      <c r="O35" s="12"/>
      <c r="P35" s="11"/>
      <c r="Q35" s="2"/>
      <c r="R35" s="12"/>
      <c r="S35" s="11"/>
      <c r="T35" s="2"/>
      <c r="U35" s="12"/>
    </row>
    <row r="36" spans="2:21" ht="15.6">
      <c r="B36" s="84">
        <v>12</v>
      </c>
      <c r="C36" s="72" t="s">
        <v>108</v>
      </c>
      <c r="D36" s="86"/>
      <c r="E36" s="87" t="s">
        <v>72</v>
      </c>
      <c r="F36" s="24"/>
      <c r="G36" s="22"/>
      <c r="H36" s="23"/>
      <c r="I36" s="24"/>
      <c r="J36" s="22"/>
      <c r="K36" s="23"/>
      <c r="L36" s="24"/>
      <c r="M36" s="22"/>
      <c r="N36" s="23"/>
      <c r="O36" s="24"/>
      <c r="P36" s="22"/>
      <c r="Q36" s="23"/>
      <c r="R36" s="24"/>
      <c r="S36" s="22"/>
      <c r="T36" s="23"/>
      <c r="U36" s="24"/>
    </row>
    <row r="37" spans="2:21" ht="15.6">
      <c r="B37" s="84">
        <v>13</v>
      </c>
      <c r="C37" s="72" t="s">
        <v>184</v>
      </c>
      <c r="D37" s="86"/>
      <c r="E37" s="87" t="s">
        <v>72</v>
      </c>
      <c r="F37" s="24"/>
      <c r="G37" s="22"/>
      <c r="H37" s="23"/>
      <c r="I37" s="24"/>
      <c r="J37" s="22"/>
      <c r="K37" s="23"/>
      <c r="L37" s="24"/>
      <c r="M37" s="22"/>
      <c r="N37" s="23"/>
      <c r="O37" s="24"/>
      <c r="P37" s="22"/>
      <c r="Q37" s="23"/>
      <c r="R37" s="24"/>
      <c r="S37" s="22"/>
      <c r="T37" s="23"/>
      <c r="U37" s="24"/>
    </row>
    <row r="38" spans="2:21" ht="15.6">
      <c r="B38" s="84">
        <v>14</v>
      </c>
      <c r="C38" s="72" t="s">
        <v>146</v>
      </c>
      <c r="D38" s="86" t="s">
        <v>72</v>
      </c>
      <c r="E38" s="87"/>
      <c r="F38" s="24"/>
      <c r="G38" s="22"/>
      <c r="H38" s="23"/>
      <c r="I38" s="24"/>
      <c r="J38" s="22"/>
      <c r="K38" s="23"/>
      <c r="L38" s="24"/>
      <c r="M38" s="22"/>
      <c r="N38" s="23"/>
      <c r="O38" s="24"/>
      <c r="P38" s="22"/>
      <c r="Q38" s="23"/>
      <c r="R38" s="24"/>
      <c r="S38" s="22"/>
      <c r="T38" s="23"/>
      <c r="U38" s="24"/>
    </row>
    <row r="39" spans="2:21" ht="16.2" thickBot="1">
      <c r="B39" s="84">
        <v>15</v>
      </c>
      <c r="C39" s="72" t="s">
        <v>170</v>
      </c>
      <c r="D39" s="86" t="s">
        <v>72</v>
      </c>
      <c r="E39" s="87"/>
      <c r="F39" s="24"/>
      <c r="G39" s="22"/>
      <c r="H39" s="23"/>
      <c r="I39" s="24"/>
      <c r="J39" s="22"/>
      <c r="K39" s="23"/>
      <c r="L39" s="24"/>
      <c r="M39" s="22"/>
      <c r="N39" s="23"/>
      <c r="O39" s="24"/>
      <c r="P39" s="22"/>
      <c r="Q39" s="23"/>
      <c r="R39" s="24"/>
      <c r="S39" s="22"/>
      <c r="T39" s="23"/>
      <c r="U39" s="24"/>
    </row>
    <row r="40" spans="2:21" ht="15" thickBot="1">
      <c r="B40" s="142" t="s">
        <v>14</v>
      </c>
      <c r="C40" s="143"/>
      <c r="D40" s="137">
        <f>(COUNTIF(D25:D39, "X"))/((COUNTA($C$25:$C$39))-(COUNTA(F25:F39)))</f>
        <v>0.8</v>
      </c>
      <c r="E40" s="138"/>
      <c r="F40" s="139"/>
      <c r="G40" s="137"/>
      <c r="H40" s="138"/>
      <c r="I40" s="139"/>
      <c r="J40" s="137">
        <f>(COUNTIF(J25:J39, "X"))/((COUNTA($C$25:$C$39))-(COUNTA(L25:L39)))</f>
        <v>0</v>
      </c>
      <c r="K40" s="138"/>
      <c r="L40" s="139"/>
      <c r="M40" s="137">
        <f>(COUNTIF(M25:M39, "X"))/((COUNTA($C$25:$C$39))-(COUNTA(O25:O39)))</f>
        <v>0</v>
      </c>
      <c r="N40" s="138"/>
      <c r="O40" s="139"/>
      <c r="P40" s="137">
        <f>(COUNTIF(P25:P39, "X"))/((COUNTA($C$25:$C$39))-(COUNTA(R25:R39)))</f>
        <v>0</v>
      </c>
      <c r="Q40" s="138"/>
      <c r="R40" s="139"/>
      <c r="S40" s="137">
        <f>(COUNTIF(S25:S39, "X"))/((COUNTA($C$25:$C$39))-(COUNTA(U25:U39)))</f>
        <v>0</v>
      </c>
      <c r="T40" s="138"/>
      <c r="U40" s="139"/>
    </row>
    <row r="41" spans="2:21" ht="14.4" customHeight="1">
      <c r="B41" s="103" t="s">
        <v>188</v>
      </c>
      <c r="C41" s="103" t="s">
        <v>93</v>
      </c>
      <c r="D41" s="80">
        <v>46144</v>
      </c>
      <c r="E41" s="28"/>
      <c r="F41" s="27"/>
      <c r="G41" s="80"/>
      <c r="H41" s="28"/>
      <c r="I41" s="27"/>
      <c r="J41" s="25"/>
      <c r="K41" s="28"/>
      <c r="L41" s="27"/>
      <c r="M41" s="25"/>
      <c r="N41" s="28"/>
      <c r="O41" s="27"/>
      <c r="P41" s="25"/>
      <c r="Q41" s="28"/>
      <c r="R41" s="27"/>
      <c r="S41" s="25"/>
      <c r="T41" s="28"/>
      <c r="U41" s="27"/>
    </row>
    <row r="42" spans="2:21" ht="15.6">
      <c r="B42" s="11">
        <v>1</v>
      </c>
      <c r="C42" s="73" t="s">
        <v>234</v>
      </c>
      <c r="D42" s="11" t="s">
        <v>72</v>
      </c>
      <c r="E42" s="2"/>
      <c r="F42" s="12"/>
      <c r="G42" s="11"/>
      <c r="H42" s="2"/>
      <c r="I42" s="12"/>
      <c r="J42" s="11"/>
      <c r="K42" s="2"/>
      <c r="L42" s="12"/>
      <c r="M42" s="11"/>
      <c r="N42" s="2"/>
      <c r="O42" s="12"/>
      <c r="P42" s="11"/>
      <c r="Q42" s="2"/>
      <c r="R42" s="12"/>
      <c r="S42" s="11"/>
      <c r="T42" s="2"/>
      <c r="U42" s="12"/>
    </row>
    <row r="43" spans="2:21" ht="15.6">
      <c r="B43" s="11">
        <v>2</v>
      </c>
      <c r="C43" s="72" t="s">
        <v>90</v>
      </c>
      <c r="D43" s="11" t="s">
        <v>72</v>
      </c>
      <c r="E43" s="2"/>
      <c r="F43" s="12"/>
      <c r="G43" s="11"/>
      <c r="H43" s="2"/>
      <c r="I43" s="12"/>
      <c r="J43" s="2"/>
      <c r="K43" s="12"/>
      <c r="L43" s="12"/>
      <c r="M43" s="11"/>
      <c r="N43" s="2"/>
      <c r="O43" s="12"/>
      <c r="P43" s="11"/>
      <c r="Q43" s="2"/>
      <c r="R43" s="12"/>
      <c r="S43" s="11"/>
      <c r="T43" s="2"/>
      <c r="U43" s="12"/>
    </row>
    <row r="44" spans="2:21" ht="15.6">
      <c r="B44" s="11">
        <v>3</v>
      </c>
      <c r="C44" s="72" t="s">
        <v>91</v>
      </c>
      <c r="D44" s="11"/>
      <c r="E44" s="2" t="s">
        <v>72</v>
      </c>
      <c r="F44" s="12"/>
      <c r="G44" s="11"/>
      <c r="H44" s="2"/>
      <c r="I44" s="12"/>
      <c r="J44" s="2"/>
      <c r="K44" s="12"/>
      <c r="L44" s="12"/>
      <c r="M44" s="11"/>
      <c r="N44" s="2"/>
      <c r="O44" s="12"/>
      <c r="P44" s="11"/>
      <c r="Q44" s="2"/>
      <c r="R44" s="12"/>
      <c r="S44" s="11"/>
      <c r="T44" s="2"/>
      <c r="U44" s="12"/>
    </row>
    <row r="45" spans="2:21" ht="15.6">
      <c r="B45" s="11">
        <v>4</v>
      </c>
      <c r="C45" s="72" t="s">
        <v>109</v>
      </c>
      <c r="D45" s="11" t="s">
        <v>72</v>
      </c>
      <c r="E45" s="2"/>
      <c r="F45" s="12"/>
      <c r="G45" s="11"/>
      <c r="H45" s="2"/>
      <c r="I45" s="12"/>
      <c r="J45" s="2"/>
      <c r="K45" s="12"/>
      <c r="L45" s="12"/>
      <c r="M45" s="11"/>
      <c r="N45" s="2"/>
      <c r="O45" s="12"/>
      <c r="P45" s="11"/>
      <c r="Q45" s="2"/>
      <c r="R45" s="12"/>
      <c r="S45" s="11"/>
      <c r="T45" s="2"/>
      <c r="U45" s="12"/>
    </row>
    <row r="46" spans="2:21" ht="15.6">
      <c r="B46" s="11">
        <v>5</v>
      </c>
      <c r="C46" s="72" t="s">
        <v>92</v>
      </c>
      <c r="D46" s="11" t="s">
        <v>72</v>
      </c>
      <c r="E46" s="2"/>
      <c r="F46" s="12"/>
      <c r="G46" s="11"/>
      <c r="H46" s="2"/>
      <c r="I46" s="12"/>
      <c r="J46" s="2"/>
      <c r="K46" s="12"/>
      <c r="L46" s="12"/>
      <c r="M46" s="11"/>
      <c r="N46" s="2"/>
      <c r="O46" s="12"/>
      <c r="P46" s="11"/>
      <c r="Q46" s="2"/>
      <c r="R46" s="12"/>
      <c r="S46" s="11"/>
      <c r="T46" s="2"/>
      <c r="U46" s="12"/>
    </row>
    <row r="47" spans="2:21" ht="15.6">
      <c r="B47" s="11">
        <v>6</v>
      </c>
      <c r="C47" s="72" t="s">
        <v>114</v>
      </c>
      <c r="D47" s="22"/>
      <c r="E47" s="23" t="s">
        <v>72</v>
      </c>
      <c r="F47" s="24"/>
      <c r="G47" s="22"/>
      <c r="H47" s="23"/>
      <c r="I47" s="24"/>
      <c r="J47" s="23"/>
      <c r="K47" s="24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5.6">
      <c r="B48" s="11">
        <v>7</v>
      </c>
      <c r="C48" s="72" t="s">
        <v>180</v>
      </c>
      <c r="D48" s="22" t="s">
        <v>72</v>
      </c>
      <c r="E48" s="23"/>
      <c r="F48" s="24"/>
      <c r="G48" s="22"/>
      <c r="H48" s="23"/>
      <c r="I48" s="24"/>
      <c r="J48" s="23"/>
      <c r="K48" s="24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.6">
      <c r="B49" s="11">
        <v>8</v>
      </c>
      <c r="C49" s="72" t="s">
        <v>110</v>
      </c>
      <c r="D49" s="104"/>
      <c r="E49" s="23" t="s">
        <v>72</v>
      </c>
      <c r="F49" s="24"/>
      <c r="G49" s="104"/>
      <c r="H49" s="23"/>
      <c r="I49" s="24"/>
      <c r="J49" s="23"/>
      <c r="K49" s="24"/>
      <c r="L49" s="24"/>
      <c r="M49" s="22"/>
      <c r="N49" s="23"/>
      <c r="O49" s="24"/>
      <c r="P49" s="22"/>
      <c r="Q49" s="23"/>
      <c r="R49" s="24"/>
      <c r="S49" s="22"/>
      <c r="T49" s="23"/>
      <c r="U49" s="24"/>
    </row>
    <row r="50" spans="2:21" ht="15.6">
      <c r="B50" s="11">
        <v>9</v>
      </c>
      <c r="C50" s="72" t="s">
        <v>112</v>
      </c>
      <c r="D50" s="22" t="s">
        <v>72</v>
      </c>
      <c r="E50" s="23"/>
      <c r="F50" s="24"/>
      <c r="G50" s="22"/>
      <c r="H50" s="23"/>
      <c r="I50" s="24"/>
      <c r="J50" s="23"/>
      <c r="K50" s="24"/>
      <c r="L50" s="24"/>
      <c r="M50" s="22"/>
      <c r="N50" s="23"/>
      <c r="O50" s="24"/>
      <c r="P50" s="22"/>
      <c r="Q50" s="23"/>
      <c r="R50" s="24"/>
      <c r="S50" s="22"/>
      <c r="T50" s="23"/>
      <c r="U50" s="24"/>
    </row>
    <row r="51" spans="2:21" ht="15.6">
      <c r="B51" s="11">
        <v>10</v>
      </c>
      <c r="C51" s="72" t="s">
        <v>115</v>
      </c>
      <c r="D51" s="22" t="s">
        <v>72</v>
      </c>
      <c r="E51" s="23"/>
      <c r="F51" s="24"/>
      <c r="G51" s="22"/>
      <c r="H51" s="23"/>
      <c r="I51" s="24"/>
      <c r="J51" s="23"/>
      <c r="K51" s="24"/>
      <c r="L51" s="24"/>
      <c r="M51" s="22"/>
      <c r="N51" s="23"/>
      <c r="O51" s="24"/>
      <c r="P51" s="22"/>
      <c r="Q51" s="23"/>
      <c r="R51" s="24"/>
      <c r="S51" s="22"/>
      <c r="T51" s="23"/>
      <c r="U51" s="24"/>
    </row>
    <row r="52" spans="2:21" ht="15.6">
      <c r="B52" s="11">
        <v>11</v>
      </c>
      <c r="C52" s="72" t="s">
        <v>113</v>
      </c>
      <c r="D52" s="22" t="s">
        <v>72</v>
      </c>
      <c r="E52" s="23"/>
      <c r="F52" s="24"/>
      <c r="G52" s="22"/>
      <c r="H52" s="23"/>
      <c r="I52" s="24"/>
      <c r="J52" s="23"/>
      <c r="K52" s="24"/>
      <c r="L52" s="24"/>
      <c r="M52" s="22"/>
      <c r="N52" s="23"/>
      <c r="O52" s="24"/>
      <c r="P52" s="22"/>
      <c r="Q52" s="23"/>
      <c r="R52" s="24"/>
      <c r="S52" s="22"/>
      <c r="T52" s="23"/>
      <c r="U52" s="24"/>
    </row>
    <row r="53" spans="2:21" ht="15.6">
      <c r="B53" s="11">
        <v>12</v>
      </c>
      <c r="C53" s="72" t="s">
        <v>142</v>
      </c>
      <c r="D53" s="22"/>
      <c r="E53" s="23" t="s">
        <v>72</v>
      </c>
      <c r="F53" s="24"/>
      <c r="G53" s="22"/>
      <c r="H53" s="23"/>
      <c r="I53" s="24"/>
      <c r="J53" s="23"/>
      <c r="K53" s="24"/>
      <c r="L53" s="24"/>
      <c r="M53" s="22"/>
      <c r="N53" s="23"/>
      <c r="O53" s="24"/>
      <c r="P53" s="22"/>
      <c r="Q53" s="23"/>
      <c r="R53" s="24"/>
      <c r="S53" s="22"/>
      <c r="T53" s="23"/>
      <c r="U53" s="24"/>
    </row>
    <row r="54" spans="2:21" ht="15.6">
      <c r="B54" s="11">
        <v>13</v>
      </c>
      <c r="C54" s="72" t="s">
        <v>197</v>
      </c>
      <c r="D54" s="22" t="s">
        <v>72</v>
      </c>
      <c r="E54" s="23"/>
      <c r="F54" s="24"/>
      <c r="G54" s="22"/>
      <c r="H54" s="23"/>
      <c r="I54" s="24"/>
      <c r="J54" s="23"/>
      <c r="K54" s="24"/>
      <c r="L54" s="24"/>
      <c r="M54" s="22"/>
      <c r="N54" s="23"/>
      <c r="O54" s="24"/>
      <c r="P54" s="22"/>
      <c r="Q54" s="23"/>
      <c r="R54" s="24"/>
      <c r="S54" s="22"/>
      <c r="T54" s="23"/>
      <c r="U54" s="24"/>
    </row>
    <row r="55" spans="2:21" ht="15.6">
      <c r="B55" s="11">
        <v>14</v>
      </c>
      <c r="C55" s="72" t="s">
        <v>209</v>
      </c>
      <c r="D55" s="22" t="s">
        <v>72</v>
      </c>
      <c r="E55" s="23"/>
      <c r="F55" s="24"/>
      <c r="G55" s="22"/>
      <c r="H55" s="23"/>
      <c r="I55" s="24"/>
      <c r="J55" s="23"/>
      <c r="K55" s="24"/>
      <c r="L55" s="24"/>
      <c r="M55" s="22"/>
      <c r="N55" s="23"/>
      <c r="O55" s="24"/>
      <c r="P55" s="22"/>
      <c r="Q55" s="23"/>
      <c r="R55" s="24"/>
      <c r="S55" s="22"/>
      <c r="T55" s="23"/>
      <c r="U55" s="24"/>
    </row>
    <row r="56" spans="2:21" ht="15.6">
      <c r="B56" s="11">
        <v>15</v>
      </c>
      <c r="C56" s="72" t="s">
        <v>198</v>
      </c>
      <c r="D56" s="22"/>
      <c r="E56" s="23"/>
      <c r="F56" s="24" t="s">
        <v>72</v>
      </c>
      <c r="G56" s="22"/>
      <c r="H56" s="23"/>
      <c r="I56" s="24"/>
      <c r="J56" s="23"/>
      <c r="K56" s="24"/>
      <c r="L56" s="24"/>
      <c r="M56" s="22"/>
      <c r="N56" s="23"/>
      <c r="O56" s="24"/>
      <c r="P56" s="22"/>
      <c r="Q56" s="23"/>
      <c r="R56" s="24"/>
      <c r="S56" s="22"/>
      <c r="T56" s="23"/>
      <c r="U56" s="24"/>
    </row>
    <row r="57" spans="2:21" ht="15.6">
      <c r="B57" s="11">
        <v>16</v>
      </c>
      <c r="C57" s="72" t="s">
        <v>236</v>
      </c>
      <c r="D57" s="22" t="s">
        <v>72</v>
      </c>
      <c r="E57" s="23"/>
      <c r="F57" s="24"/>
      <c r="G57" s="22"/>
      <c r="H57" s="23"/>
      <c r="I57" s="24"/>
      <c r="J57" s="23"/>
      <c r="K57" s="24"/>
      <c r="L57" s="24"/>
      <c r="M57" s="22"/>
      <c r="N57" s="23"/>
      <c r="O57" s="24"/>
      <c r="P57" s="22"/>
      <c r="Q57" s="23"/>
      <c r="R57" s="24"/>
      <c r="S57" s="22"/>
      <c r="T57" s="23"/>
      <c r="U57" s="24"/>
    </row>
    <row r="58" spans="2:21" ht="16.2" thickBot="1">
      <c r="B58" s="11">
        <v>17</v>
      </c>
      <c r="C58" s="72" t="s">
        <v>173</v>
      </c>
      <c r="D58" s="22" t="s">
        <v>72</v>
      </c>
      <c r="E58" s="23"/>
      <c r="F58" s="24"/>
      <c r="G58" s="22"/>
      <c r="H58" s="23"/>
      <c r="I58" s="24"/>
      <c r="J58" s="23"/>
      <c r="K58" s="24"/>
      <c r="L58" s="24"/>
      <c r="M58" s="22"/>
      <c r="N58" s="23"/>
      <c r="O58" s="24"/>
      <c r="P58" s="22"/>
      <c r="Q58" s="23"/>
      <c r="R58" s="24"/>
      <c r="S58" s="22"/>
      <c r="T58" s="23"/>
      <c r="U58" s="24"/>
    </row>
    <row r="59" spans="2:21" ht="15" customHeight="1" thickBot="1">
      <c r="B59" s="102"/>
      <c r="C59" s="102" t="s">
        <v>14</v>
      </c>
      <c r="D59" s="99">
        <f>(COUNTIF(D42:D58, "X"))/((COUNTA($C$42:$C$58))-(COUNTA(F42:F58)))</f>
        <v>0.75</v>
      </c>
      <c r="E59" s="100"/>
      <c r="F59" s="101"/>
      <c r="G59" s="99">
        <f>(COUNTIF(G42:G58, "X"))/((COUNTA($C$42:$C$58))-(COUNTA(I42:I58)))</f>
        <v>0</v>
      </c>
      <c r="H59" s="100"/>
      <c r="I59" s="101"/>
      <c r="J59" s="137">
        <f>(COUNTIF(J42:J58, "X"))/((COUNTA($C$42:$C$58))-(COUNTA(L42:L58)))</f>
        <v>0</v>
      </c>
      <c r="K59" s="138"/>
      <c r="L59" s="139"/>
      <c r="M59" s="137">
        <f>(COUNTIF(M42:M58, "X"))/((COUNTA($C$42:$C$58))-(COUNTA(O42:O58)))</f>
        <v>0</v>
      </c>
      <c r="N59" s="138"/>
      <c r="O59" s="139"/>
      <c r="P59" s="137">
        <f>(COUNTIF(P42:P58, "X"))/((COUNTA($C$42:$C$58))-(COUNTA(R42:R58)))</f>
        <v>0</v>
      </c>
      <c r="Q59" s="138"/>
      <c r="R59" s="139"/>
      <c r="S59" s="137">
        <f>(COUNTIF(S42:S58, "X"))/((COUNTA($C$42:$C$58))-(COUNTA(U42:U58)))</f>
        <v>0</v>
      </c>
      <c r="T59" s="138"/>
      <c r="U59" s="139"/>
    </row>
    <row r="60" spans="2:21">
      <c r="B60" s="147" t="s">
        <v>95</v>
      </c>
      <c r="C60" s="148"/>
      <c r="D60" s="25"/>
      <c r="E60" s="28"/>
      <c r="F60" s="27"/>
      <c r="G60" s="25"/>
      <c r="H60" s="28"/>
      <c r="I60" s="27"/>
      <c r="J60" s="25"/>
      <c r="K60" s="28"/>
      <c r="L60" s="27"/>
      <c r="M60" s="25"/>
      <c r="N60" s="28"/>
      <c r="O60" s="27"/>
      <c r="P60" s="25"/>
      <c r="Q60" s="28"/>
      <c r="R60" s="27"/>
      <c r="S60" s="25"/>
      <c r="T60" s="28"/>
      <c r="U60" s="27"/>
    </row>
    <row r="61" spans="2:21" ht="15.6">
      <c r="B61" s="11">
        <v>1</v>
      </c>
      <c r="C61" s="72" t="s">
        <v>199</v>
      </c>
      <c r="D61" s="11"/>
      <c r="E61" s="2"/>
      <c r="F61" s="12"/>
      <c r="G61" s="11"/>
      <c r="H61" s="2"/>
      <c r="I61" s="12"/>
      <c r="J61" s="11"/>
      <c r="K61" s="2"/>
      <c r="L61" s="12"/>
      <c r="M61" s="11"/>
      <c r="N61" s="2"/>
      <c r="O61" s="12"/>
      <c r="P61" s="11"/>
      <c r="Q61" s="2"/>
      <c r="R61" s="12"/>
      <c r="S61" s="11"/>
      <c r="T61" s="2"/>
      <c r="U61" s="12"/>
    </row>
    <row r="62" spans="2:21" ht="15.6">
      <c r="B62" s="11">
        <v>2</v>
      </c>
      <c r="C62" s="72" t="s">
        <v>200</v>
      </c>
      <c r="D62" s="11"/>
      <c r="E62" s="2"/>
      <c r="F62" s="12"/>
      <c r="G62" s="11"/>
      <c r="H62" s="2"/>
      <c r="I62" s="12"/>
      <c r="J62" s="11"/>
      <c r="K62" s="2"/>
      <c r="L62" s="12"/>
      <c r="M62" s="11"/>
      <c r="N62" s="2"/>
      <c r="O62" s="12"/>
      <c r="P62" s="11"/>
      <c r="Q62" s="2"/>
      <c r="R62" s="12"/>
      <c r="S62" s="11"/>
      <c r="T62" s="2"/>
      <c r="U62" s="12"/>
    </row>
    <row r="63" spans="2:21" ht="15.6">
      <c r="B63" s="11">
        <v>3</v>
      </c>
      <c r="C63" s="72" t="s">
        <v>94</v>
      </c>
      <c r="D63" s="11"/>
      <c r="E63" s="2"/>
      <c r="F63" s="12"/>
      <c r="G63" s="11"/>
      <c r="H63" s="2"/>
      <c r="I63" s="12"/>
      <c r="J63" s="11"/>
      <c r="K63" s="2"/>
      <c r="L63" s="12"/>
      <c r="M63" s="11"/>
      <c r="N63" s="2"/>
      <c r="O63" s="12"/>
      <c r="P63" s="11"/>
      <c r="Q63" s="2"/>
      <c r="R63" s="12"/>
      <c r="S63" s="11"/>
      <c r="T63" s="2"/>
      <c r="U63" s="12"/>
    </row>
    <row r="64" spans="2:21" ht="15.6">
      <c r="B64" s="11">
        <v>4</v>
      </c>
      <c r="C64" s="72" t="s">
        <v>201</v>
      </c>
      <c r="D64" s="11"/>
      <c r="E64" s="2"/>
      <c r="F64" s="12"/>
      <c r="G64" s="11"/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>
      <c r="B65" s="142" t="s">
        <v>14</v>
      </c>
      <c r="C65" s="143"/>
      <c r="D65" s="144">
        <f>(COUNTIF(D61:D64, "X"))/((COUNTA($C$61:$C$64))-(COUNTA(F61:F64)))</f>
        <v>0</v>
      </c>
      <c r="E65" s="145"/>
      <c r="F65" s="146"/>
      <c r="G65" s="144">
        <f>(COUNTIF(G61:G64, "X"))/((COUNTA($C$61:$C$64))-(COUNTA(I61:I64)))</f>
        <v>0</v>
      </c>
      <c r="H65" s="145"/>
      <c r="I65" s="146"/>
      <c r="J65" s="144">
        <f>(COUNTIF(J61:J64, "X"))/((COUNTA($C$61:$C$64))-(COUNTA(L61:L64)))</f>
        <v>0</v>
      </c>
      <c r="K65" s="145"/>
      <c r="L65" s="146"/>
      <c r="M65" s="144">
        <f>(COUNTIF(M61:M64, "X"))/((COUNTA($C$61:$C$64))-(COUNTA(O61:O64)))</f>
        <v>0</v>
      </c>
      <c r="N65" s="145"/>
      <c r="O65" s="146"/>
      <c r="P65" s="144">
        <f>(COUNTIF(P61:P64, "X"))/((COUNTA($C$61:$C$64))-(COUNTA(R61:R64)))</f>
        <v>0</v>
      </c>
      <c r="Q65" s="145"/>
      <c r="R65" s="146"/>
      <c r="S65" s="144">
        <f>(COUNTIF(S61:S64, "X"))/((COUNTA($C$61:$C$64))-(COUNTA(U61:U64)))</f>
        <v>0</v>
      </c>
      <c r="T65" s="145"/>
      <c r="U65" s="146"/>
    </row>
    <row r="66" spans="2:21">
      <c r="B66" s="147" t="s">
        <v>120</v>
      </c>
      <c r="C66" s="148"/>
      <c r="D66" s="78"/>
      <c r="E66" s="5"/>
      <c r="F66" s="17"/>
      <c r="G66" s="78"/>
      <c r="H66" s="5"/>
      <c r="I66" s="17"/>
      <c r="J66" s="16"/>
      <c r="K66" s="5"/>
      <c r="L66" s="17"/>
      <c r="M66" s="16"/>
      <c r="N66" s="5"/>
      <c r="O66" s="17"/>
      <c r="P66" s="16"/>
      <c r="Q66" s="5"/>
      <c r="R66" s="17"/>
      <c r="S66" s="16"/>
      <c r="T66" s="5"/>
      <c r="U66" s="17"/>
    </row>
    <row r="67" spans="2:21" ht="15.6">
      <c r="B67" s="11">
        <v>1</v>
      </c>
      <c r="C67" s="72" t="s">
        <v>202</v>
      </c>
      <c r="D67" s="11"/>
      <c r="E67" s="2"/>
      <c r="F67" s="12"/>
      <c r="G67" s="11"/>
      <c r="H67" s="2"/>
      <c r="I67" s="12"/>
      <c r="J67" s="11"/>
      <c r="K67" s="2"/>
      <c r="L67" s="12"/>
      <c r="M67" s="11"/>
      <c r="N67" s="2"/>
      <c r="O67" s="12"/>
      <c r="P67" s="11"/>
      <c r="Q67" s="2"/>
      <c r="R67" s="12"/>
      <c r="S67" s="11"/>
      <c r="T67" s="2"/>
      <c r="U67" s="12"/>
    </row>
    <row r="68" spans="2:21" ht="15.6">
      <c r="B68" s="11">
        <v>2</v>
      </c>
      <c r="C68" s="72" t="s">
        <v>124</v>
      </c>
      <c r="D68" s="11"/>
      <c r="E68" s="2"/>
      <c r="F68" s="12"/>
      <c r="G68" s="11"/>
      <c r="H68" s="2"/>
      <c r="I68" s="12"/>
      <c r="J68" s="11"/>
      <c r="K68" s="2"/>
      <c r="L68" s="12"/>
      <c r="M68" s="11"/>
      <c r="N68" s="2"/>
      <c r="O68" s="12"/>
      <c r="P68" s="11"/>
      <c r="Q68" s="2"/>
      <c r="R68" s="12"/>
      <c r="S68" s="11"/>
      <c r="T68" s="2"/>
      <c r="U68" s="12"/>
    </row>
    <row r="69" spans="2:21" ht="15.6">
      <c r="B69" s="11">
        <v>3</v>
      </c>
      <c r="C69" s="72" t="s">
        <v>121</v>
      </c>
      <c r="D69" s="11"/>
      <c r="E69" s="2"/>
      <c r="F69" s="12"/>
      <c r="G69" s="11"/>
      <c r="H69" s="2"/>
      <c r="I69" s="12"/>
      <c r="J69" s="11"/>
      <c r="K69" s="2"/>
      <c r="L69" s="12"/>
      <c r="M69" s="11"/>
      <c r="N69" s="2"/>
      <c r="O69" s="12"/>
      <c r="P69" s="11"/>
      <c r="Q69" s="2"/>
      <c r="R69" s="12"/>
      <c r="S69" s="11"/>
      <c r="T69" s="2"/>
      <c r="U69" s="12"/>
    </row>
    <row r="70" spans="2:21" ht="15.6">
      <c r="B70" s="11">
        <v>4</v>
      </c>
      <c r="C70" s="74" t="s">
        <v>122</v>
      </c>
      <c r="D70" s="22"/>
      <c r="E70" s="23"/>
      <c r="F70" s="24"/>
      <c r="G70" s="22"/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5</v>
      </c>
      <c r="C71" s="74" t="s">
        <v>116</v>
      </c>
      <c r="D71" s="22"/>
      <c r="E71" s="23"/>
      <c r="F71" s="24"/>
      <c r="G71" s="22"/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6</v>
      </c>
      <c r="C72" s="74" t="s">
        <v>203</v>
      </c>
      <c r="D72" s="22"/>
      <c r="E72" s="23"/>
      <c r="F72" s="24"/>
      <c r="G72" s="22"/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7</v>
      </c>
      <c r="C73" s="74" t="s">
        <v>117</v>
      </c>
      <c r="D73" s="22"/>
      <c r="E73" s="23"/>
      <c r="F73" s="24"/>
      <c r="G73" s="22"/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8</v>
      </c>
      <c r="C74" s="74" t="s">
        <v>123</v>
      </c>
      <c r="D74" s="22"/>
      <c r="E74" s="23"/>
      <c r="F74" s="24"/>
      <c r="G74" s="22"/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5.6">
      <c r="B75" s="11">
        <v>9</v>
      </c>
      <c r="C75" s="74" t="s">
        <v>210</v>
      </c>
      <c r="D75" s="22"/>
      <c r="E75" s="23"/>
      <c r="F75" s="24"/>
      <c r="G75" s="22"/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 ht="15.6">
      <c r="B76" s="11">
        <v>10</v>
      </c>
      <c r="C76" s="77" t="s">
        <v>184</v>
      </c>
      <c r="D76" s="22"/>
      <c r="E76" s="23"/>
      <c r="F76" s="24"/>
      <c r="G76" s="22"/>
      <c r="H76" s="23"/>
      <c r="I76" s="24"/>
      <c r="J76" s="22"/>
      <c r="K76" s="23"/>
      <c r="L76" s="24"/>
      <c r="M76" s="22"/>
      <c r="N76" s="23"/>
      <c r="O76" s="24"/>
      <c r="P76" s="22"/>
      <c r="Q76" s="23"/>
      <c r="R76" s="24"/>
      <c r="S76" s="22"/>
      <c r="T76" s="23"/>
      <c r="U76" s="24"/>
    </row>
    <row r="77" spans="2:21" ht="15.6">
      <c r="B77" s="11">
        <v>12</v>
      </c>
      <c r="C77" s="72" t="s">
        <v>192</v>
      </c>
      <c r="D77" s="22"/>
      <c r="E77" s="23"/>
      <c r="F77" s="24"/>
      <c r="G77" s="22"/>
      <c r="H77" s="23"/>
      <c r="I77" s="24"/>
      <c r="J77" s="22"/>
      <c r="K77" s="23"/>
      <c r="L77" s="24"/>
      <c r="M77" s="22"/>
      <c r="N77" s="23"/>
      <c r="O77" s="24"/>
      <c r="P77" s="22"/>
      <c r="Q77" s="23"/>
      <c r="R77" s="24"/>
      <c r="S77" s="22"/>
      <c r="T77" s="23"/>
      <c r="U77" s="24"/>
    </row>
    <row r="78" spans="2:21" ht="15.6">
      <c r="B78" s="11">
        <v>13</v>
      </c>
      <c r="C78" s="77" t="s">
        <v>145</v>
      </c>
      <c r="D78" s="22"/>
      <c r="E78" s="23"/>
      <c r="F78" s="24"/>
      <c r="G78" s="22"/>
      <c r="H78" s="23"/>
      <c r="I78" s="24"/>
      <c r="J78" s="22"/>
      <c r="K78" s="23"/>
      <c r="L78" s="24"/>
      <c r="M78" s="22"/>
      <c r="N78" s="23"/>
      <c r="O78" s="24"/>
      <c r="P78" s="22"/>
      <c r="Q78" s="23"/>
      <c r="R78" s="24"/>
      <c r="S78" s="22"/>
      <c r="T78" s="23"/>
      <c r="U78" s="24"/>
    </row>
    <row r="79" spans="2:21" ht="16.2" thickBot="1">
      <c r="B79" s="11">
        <v>14</v>
      </c>
      <c r="C79" s="72" t="s">
        <v>170</v>
      </c>
      <c r="D79" s="82"/>
      <c r="E79" s="23"/>
      <c r="F79" s="24"/>
      <c r="G79" s="22"/>
      <c r="H79" s="23"/>
      <c r="I79" s="24"/>
      <c r="J79" s="22"/>
      <c r="K79" s="23"/>
      <c r="L79" s="24"/>
      <c r="M79" s="22"/>
      <c r="N79" s="23"/>
      <c r="O79" s="24"/>
      <c r="P79" s="22"/>
      <c r="Q79" s="23"/>
      <c r="R79" s="24"/>
      <c r="S79" s="22"/>
      <c r="T79" s="23"/>
      <c r="U79" s="24"/>
    </row>
    <row r="80" spans="2:21">
      <c r="B80" s="142" t="s">
        <v>14</v>
      </c>
      <c r="C80" s="143"/>
      <c r="D80" s="149">
        <f>(COUNTIF(D67:D79, "X"))/((COUNTA($C$67:$C$79))-(COUNTA(F67:F79)))</f>
        <v>0</v>
      </c>
      <c r="E80" s="150"/>
      <c r="F80" s="151"/>
      <c r="G80" s="149">
        <f>(COUNTIF(G67:G79, "X"))/((COUNTA($C$67:$C$79))-(COUNTA(I67:I79)))</f>
        <v>0</v>
      </c>
      <c r="H80" s="150"/>
      <c r="I80" s="151"/>
      <c r="J80" s="149">
        <f>(COUNTIF(J67:J79, "X"))/((COUNTA($C$67:$C$79))-(COUNTA(L67:L79)))</f>
        <v>0</v>
      </c>
      <c r="K80" s="150"/>
      <c r="L80" s="151"/>
      <c r="M80" s="149">
        <f>(COUNTIF(M67:M79, "X"))/((COUNTA($C$67:$C$75))-(COUNTA(O67:O79)))</f>
        <v>0</v>
      </c>
      <c r="N80" s="150"/>
      <c r="O80" s="151"/>
      <c r="P80" s="149">
        <f>(COUNTIF(P67:P79, "X"))/((COUNTA($C$67:$C$75))-(COUNTA(R67:R79)))</f>
        <v>0</v>
      </c>
      <c r="Q80" s="150"/>
      <c r="R80" s="151"/>
      <c r="S80" s="149">
        <f>(COUNTIF(S67:S79, "X"))/((COUNTA($C$67:$C$75))-(COUNTA(U67:U79)))</f>
        <v>0</v>
      </c>
      <c r="T80" s="150"/>
      <c r="U80" s="151"/>
    </row>
    <row r="81" spans="2:21" ht="15" thickBot="1">
      <c r="B81" s="147" t="s">
        <v>99</v>
      </c>
      <c r="C81" s="148"/>
      <c r="D81" s="32"/>
      <c r="E81" s="33"/>
      <c r="F81" s="34"/>
      <c r="G81" s="32"/>
      <c r="H81" s="33"/>
      <c r="I81" s="34"/>
      <c r="J81" s="32"/>
      <c r="K81" s="33"/>
      <c r="L81" s="34"/>
      <c r="M81" s="32"/>
      <c r="N81" s="33"/>
      <c r="O81" s="34"/>
      <c r="P81" s="32"/>
      <c r="Q81" s="33"/>
      <c r="R81" s="34"/>
      <c r="S81" s="32"/>
      <c r="T81" s="33"/>
      <c r="U81" s="34"/>
    </row>
    <row r="82" spans="2:21" ht="15.6">
      <c r="B82" s="11">
        <v>1</v>
      </c>
      <c r="C82" s="72" t="s">
        <v>97</v>
      </c>
      <c r="D82" s="29"/>
      <c r="E82" s="30"/>
      <c r="F82" s="31"/>
      <c r="G82" s="29"/>
      <c r="H82" s="30"/>
      <c r="I82" s="31"/>
      <c r="J82" s="29"/>
      <c r="K82" s="30"/>
      <c r="L82" s="31"/>
      <c r="M82" s="29"/>
      <c r="N82" s="30"/>
      <c r="O82" s="31"/>
      <c r="P82" s="29"/>
      <c r="Q82" s="30"/>
      <c r="R82" s="31"/>
      <c r="S82" s="29"/>
      <c r="T82" s="30"/>
      <c r="U82" s="31"/>
    </row>
    <row r="83" spans="2:21" ht="15.6">
      <c r="B83" s="11">
        <v>2</v>
      </c>
      <c r="C83" s="72" t="s">
        <v>211</v>
      </c>
      <c r="D83" s="11"/>
      <c r="E83" s="2"/>
      <c r="F83" s="12"/>
      <c r="G83" s="11"/>
      <c r="H83" s="2"/>
      <c r="I83" s="12"/>
      <c r="J83" s="11"/>
      <c r="K83" s="2"/>
      <c r="L83" s="12"/>
      <c r="M83" s="11"/>
      <c r="N83" s="2"/>
      <c r="O83" s="12"/>
      <c r="P83" s="11"/>
      <c r="Q83" s="2"/>
      <c r="R83" s="12"/>
      <c r="S83" s="11"/>
      <c r="T83" s="2"/>
      <c r="U83" s="12"/>
    </row>
    <row r="84" spans="2:21" ht="15.6">
      <c r="B84" s="11">
        <v>3</v>
      </c>
      <c r="C84" s="72" t="s">
        <v>98</v>
      </c>
      <c r="D84" s="11"/>
      <c r="E84" s="2"/>
      <c r="F84" s="12"/>
      <c r="G84" s="11"/>
      <c r="H84" s="2"/>
      <c r="I84" s="12"/>
      <c r="J84" s="11"/>
      <c r="K84" s="2"/>
      <c r="L84" s="12"/>
      <c r="M84" s="11"/>
      <c r="N84" s="2"/>
      <c r="O84" s="12"/>
      <c r="P84" s="11"/>
      <c r="Q84" s="2"/>
      <c r="R84" s="12"/>
      <c r="S84" s="11"/>
      <c r="T84" s="2"/>
      <c r="U84" s="12"/>
    </row>
    <row r="85" spans="2:21" ht="16.2" thickBot="1">
      <c r="B85" s="11">
        <v>4</v>
      </c>
      <c r="C85" s="74" t="s">
        <v>170</v>
      </c>
      <c r="D85" s="22"/>
      <c r="E85" s="23"/>
      <c r="F85" s="24"/>
      <c r="G85" s="22"/>
      <c r="H85" s="23"/>
      <c r="I85" s="24"/>
      <c r="J85" s="22"/>
      <c r="K85" s="23"/>
      <c r="L85" s="24"/>
      <c r="M85" s="22"/>
      <c r="N85" s="23"/>
      <c r="O85" s="24"/>
      <c r="P85" s="22"/>
      <c r="Q85" s="23"/>
      <c r="R85" s="24"/>
      <c r="S85" s="22"/>
      <c r="T85" s="23"/>
      <c r="U85" s="24"/>
    </row>
    <row r="86" spans="2:21" ht="15" thickBot="1">
      <c r="B86" s="152" t="s">
        <v>14</v>
      </c>
      <c r="C86" s="153"/>
      <c r="D86" s="137">
        <f>(COUNTIF(D82:D85, "X"))/((COUNTA($C$82:$C$85))-(COUNTA(F82:F85)))</f>
        <v>0</v>
      </c>
      <c r="E86" s="138"/>
      <c r="F86" s="139"/>
      <c r="G86" s="137">
        <f>(COUNTIF(G82:G85, "X"))/((COUNTA($C$82:$C$85))-(COUNTA(I82:I85)))</f>
        <v>0</v>
      </c>
      <c r="H86" s="138"/>
      <c r="I86" s="139"/>
      <c r="J86" s="137">
        <f>(COUNTIF(J82:J85, "X"))/((COUNTA($C$82:$C$85))-(COUNTA(L82:L85)))</f>
        <v>0</v>
      </c>
      <c r="K86" s="138"/>
      <c r="L86" s="139"/>
      <c r="M86" s="137">
        <f>(COUNTIF(M82:M85, "X"))/((COUNTA($C$82:$C$85))-(COUNTA(O82:O85)))</f>
        <v>0</v>
      </c>
      <c r="N86" s="138"/>
      <c r="O86" s="139"/>
      <c r="P86" s="137">
        <f>(COUNTIF(P82:P85, "X"))/((COUNTA($C$82:$C$85))-(COUNTA(R82:R85)))</f>
        <v>0</v>
      </c>
      <c r="Q86" s="138"/>
      <c r="R86" s="139"/>
      <c r="S86" s="137">
        <f>(COUNTIF(S82:S85, "X"))/((COUNTA($C$82:$C$85))-(COUNTA(U82:U85)))</f>
        <v>0</v>
      </c>
      <c r="T86" s="138"/>
      <c r="U86" s="139"/>
    </row>
    <row r="87" spans="2:21" ht="14.4" customHeight="1">
      <c r="B87" s="97" t="s">
        <v>188</v>
      </c>
      <c r="C87" s="97" t="s">
        <v>103</v>
      </c>
      <c r="D87" s="80"/>
      <c r="E87" s="26"/>
      <c r="F87" s="27"/>
      <c r="G87" s="80"/>
      <c r="H87" s="26"/>
      <c r="I87" s="27"/>
      <c r="J87" s="80"/>
      <c r="K87" s="26"/>
      <c r="L87" s="27"/>
      <c r="M87" s="25"/>
      <c r="N87" s="26"/>
      <c r="O87" s="27"/>
      <c r="P87" s="25"/>
      <c r="Q87" s="26"/>
      <c r="R87" s="27"/>
      <c r="S87" s="25"/>
      <c r="T87" s="26"/>
      <c r="U87" s="27"/>
    </row>
    <row r="88" spans="2:21" ht="15.6">
      <c r="B88" s="11">
        <v>1</v>
      </c>
      <c r="C88" s="72" t="s">
        <v>83</v>
      </c>
      <c r="D88" s="11"/>
      <c r="E88" s="2"/>
      <c r="F88" s="12"/>
      <c r="G88" s="11"/>
      <c r="H88" s="2"/>
      <c r="I88" s="12"/>
      <c r="J88" s="11"/>
      <c r="K88" s="2"/>
      <c r="L88" s="12"/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2</v>
      </c>
      <c r="C89" s="72" t="s">
        <v>107</v>
      </c>
      <c r="D89" s="11"/>
      <c r="E89" s="2"/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3</v>
      </c>
      <c r="C90" s="72" t="s">
        <v>104</v>
      </c>
      <c r="D90" s="11"/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4</v>
      </c>
      <c r="C91" s="72" t="s">
        <v>105</v>
      </c>
      <c r="D91" s="11"/>
      <c r="E91" s="2"/>
      <c r="F91" s="12"/>
      <c r="G91" s="11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5</v>
      </c>
      <c r="C92" s="72" t="s">
        <v>194</v>
      </c>
      <c r="D92" s="11"/>
      <c r="E92" s="2"/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6</v>
      </c>
      <c r="C93" s="72" t="s">
        <v>212</v>
      </c>
      <c r="D93" s="11"/>
      <c r="E93" s="2"/>
      <c r="F93" s="12"/>
      <c r="G93" s="93"/>
      <c r="H93" s="2"/>
      <c r="I93" s="12"/>
      <c r="J93" s="11"/>
      <c r="K93" s="2"/>
      <c r="L93" s="12"/>
      <c r="M93" s="11"/>
      <c r="N93" s="2"/>
      <c r="O93" s="12"/>
      <c r="P93" s="11"/>
      <c r="Q93" s="2"/>
      <c r="R93" s="12"/>
      <c r="S93" s="11"/>
      <c r="T93" s="2"/>
      <c r="U93" s="12"/>
    </row>
    <row r="94" spans="2:21" ht="15.6">
      <c r="B94" s="11">
        <v>7</v>
      </c>
      <c r="C94" s="72" t="s">
        <v>106</v>
      </c>
      <c r="D94" s="11"/>
      <c r="E94" s="2"/>
      <c r="F94" s="12"/>
      <c r="G94" s="11"/>
      <c r="H94" s="2"/>
      <c r="I94" s="12"/>
      <c r="J94" s="11"/>
      <c r="K94" s="2"/>
      <c r="L94" s="12"/>
      <c r="M94" s="11"/>
      <c r="N94" s="2"/>
      <c r="O94" s="12"/>
      <c r="P94" s="11"/>
      <c r="Q94" s="2"/>
      <c r="R94" s="12"/>
      <c r="S94" s="11"/>
      <c r="T94" s="2"/>
      <c r="U94" s="12"/>
    </row>
    <row r="95" spans="2:21" ht="15.6">
      <c r="B95" s="11">
        <v>8</v>
      </c>
      <c r="C95" s="72" t="s">
        <v>161</v>
      </c>
      <c r="D95" s="11"/>
      <c r="E95" s="2"/>
      <c r="F95" s="12"/>
      <c r="G95" s="11"/>
      <c r="H95" s="2"/>
      <c r="I95" s="12"/>
      <c r="J95" s="11"/>
      <c r="K95" s="2"/>
      <c r="L95" s="12"/>
      <c r="M95" s="11"/>
      <c r="N95" s="2"/>
      <c r="O95" s="12"/>
      <c r="P95" s="11"/>
      <c r="Q95" s="2"/>
      <c r="R95" s="12"/>
      <c r="S95" s="11"/>
      <c r="T95" s="2"/>
      <c r="U95" s="12"/>
    </row>
    <row r="96" spans="2:21" ht="15.6">
      <c r="B96" s="11">
        <v>9</v>
      </c>
      <c r="C96" s="72" t="s">
        <v>88</v>
      </c>
      <c r="D96" s="11"/>
      <c r="E96" s="2"/>
      <c r="F96" s="12"/>
      <c r="G96" s="11"/>
      <c r="H96" s="2"/>
      <c r="I96" s="12"/>
      <c r="J96" s="11"/>
      <c r="K96" s="2"/>
      <c r="L96" s="12"/>
      <c r="M96" s="11"/>
      <c r="N96" s="2"/>
      <c r="O96" s="12"/>
      <c r="P96" s="11"/>
      <c r="Q96" s="2"/>
      <c r="R96" s="12"/>
      <c r="S96" s="11"/>
      <c r="T96" s="2"/>
      <c r="U96" s="12"/>
    </row>
    <row r="97" spans="2:21" ht="15.6">
      <c r="B97" s="11">
        <v>10</v>
      </c>
      <c r="C97" s="72" t="s">
        <v>150</v>
      </c>
      <c r="D97" s="11"/>
      <c r="E97" s="2"/>
      <c r="F97" s="12"/>
      <c r="G97" s="11"/>
      <c r="H97" s="2"/>
      <c r="I97" s="12"/>
      <c r="J97" s="11"/>
      <c r="K97" s="2"/>
      <c r="L97" s="12"/>
      <c r="M97" s="11"/>
      <c r="N97" s="2"/>
      <c r="O97" s="12"/>
      <c r="P97" s="11"/>
      <c r="Q97" s="2"/>
      <c r="R97" s="12"/>
      <c r="S97" s="11"/>
      <c r="T97" s="2"/>
      <c r="U97" s="12"/>
    </row>
    <row r="98" spans="2:21" ht="15.6">
      <c r="B98" s="11">
        <v>11</v>
      </c>
      <c r="C98" s="72" t="s">
        <v>195</v>
      </c>
      <c r="D98" s="11"/>
      <c r="E98" s="2"/>
      <c r="F98" s="12"/>
      <c r="G98" s="11"/>
      <c r="H98" s="2"/>
      <c r="I98" s="12"/>
      <c r="J98" s="11"/>
      <c r="K98" s="2"/>
      <c r="L98" s="12"/>
      <c r="M98" s="11"/>
      <c r="N98" s="2"/>
      <c r="O98" s="12"/>
      <c r="P98" s="11"/>
      <c r="Q98" s="2"/>
      <c r="R98" s="12"/>
      <c r="S98" s="11"/>
      <c r="T98" s="2"/>
      <c r="U98" s="12"/>
    </row>
    <row r="99" spans="2:21" ht="15.6">
      <c r="B99" s="11">
        <v>12</v>
      </c>
      <c r="C99" s="72" t="s">
        <v>192</v>
      </c>
      <c r="D99" s="11"/>
      <c r="E99" s="2"/>
      <c r="F99" s="12"/>
      <c r="G99" s="11"/>
      <c r="H99" s="2"/>
      <c r="I99" s="12"/>
      <c r="J99" s="11"/>
      <c r="K99" s="2"/>
      <c r="L99" s="12"/>
      <c r="M99" s="11"/>
      <c r="N99" s="2"/>
      <c r="O99" s="12"/>
      <c r="P99" s="11"/>
      <c r="Q99" s="2"/>
      <c r="R99" s="12"/>
      <c r="S99" s="11"/>
      <c r="T99" s="2"/>
      <c r="U99" s="12"/>
    </row>
    <row r="100" spans="2:21" ht="15.6">
      <c r="B100" s="11">
        <v>13</v>
      </c>
      <c r="C100" s="72" t="s">
        <v>184</v>
      </c>
      <c r="D100" s="22"/>
      <c r="E100" s="23"/>
      <c r="F100" s="24"/>
      <c r="G100" s="22"/>
      <c r="H100" s="23"/>
      <c r="I100" s="24"/>
      <c r="J100" s="22"/>
      <c r="K100" s="23"/>
      <c r="L100" s="24"/>
      <c r="M100" s="22"/>
      <c r="N100" s="23"/>
      <c r="O100" s="24"/>
      <c r="P100" s="22"/>
      <c r="Q100" s="23"/>
      <c r="R100" s="24"/>
      <c r="S100" s="22"/>
      <c r="T100" s="23"/>
      <c r="U100" s="24"/>
    </row>
    <row r="101" spans="2:21" ht="15.6">
      <c r="B101" s="11">
        <v>14</v>
      </c>
      <c r="C101" s="72" t="s">
        <v>230</v>
      </c>
      <c r="D101" s="22"/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.6">
      <c r="B102" s="11">
        <v>15</v>
      </c>
      <c r="C102" s="72" t="s">
        <v>149</v>
      </c>
      <c r="D102" s="22"/>
      <c r="E102" s="23"/>
      <c r="F102" s="24"/>
      <c r="G102" s="22"/>
      <c r="H102" s="23"/>
      <c r="I102" s="24"/>
      <c r="J102" s="22"/>
      <c r="K102" s="23"/>
      <c r="L102" s="24"/>
      <c r="M102" s="22"/>
      <c r="N102" s="23"/>
      <c r="O102" s="24"/>
      <c r="P102" s="22"/>
      <c r="Q102" s="23"/>
      <c r="R102" s="24"/>
      <c r="S102" s="22"/>
      <c r="T102" s="23"/>
      <c r="U102" s="24"/>
    </row>
    <row r="103" spans="2:21" ht="16.2" thickBot="1">
      <c r="B103" s="11">
        <v>16</v>
      </c>
      <c r="C103" s="72" t="s">
        <v>170</v>
      </c>
      <c r="D103" s="22"/>
      <c r="E103" s="23"/>
      <c r="F103" s="24"/>
      <c r="G103" s="22"/>
      <c r="H103" s="23"/>
      <c r="I103" s="24"/>
      <c r="J103" s="22"/>
      <c r="K103" s="23"/>
      <c r="L103" s="24"/>
      <c r="M103" s="22"/>
      <c r="N103" s="23"/>
      <c r="O103" s="24"/>
      <c r="P103" s="22"/>
      <c r="Q103" s="23"/>
      <c r="R103" s="24"/>
      <c r="S103" s="22"/>
      <c r="T103" s="23"/>
      <c r="U103" s="24"/>
    </row>
    <row r="104" spans="2:21" ht="15" thickBot="1">
      <c r="B104" s="142" t="s">
        <v>14</v>
      </c>
      <c r="C104" s="143"/>
      <c r="D104" s="137">
        <f>(COUNTIF(D88:D103, "X"))/((COUNTA($C$88:$C$103))-(COUNTA(F88:F103)))</f>
        <v>0</v>
      </c>
      <c r="E104" s="138"/>
      <c r="F104" s="139"/>
      <c r="G104" s="137">
        <f>(COUNTIF(G88:G103, "X"))/((COUNTA($C$88:$C$103))-(COUNTA(I88:I103)))</f>
        <v>0</v>
      </c>
      <c r="H104" s="138"/>
      <c r="I104" s="139"/>
      <c r="J104" s="137">
        <f>(COUNTIF(J88:J103, "X"))/((COUNTA($C$88:$C$103))-(COUNTA(L88:L103)))</f>
        <v>0</v>
      </c>
      <c r="K104" s="138"/>
      <c r="L104" s="139"/>
      <c r="M104" s="137">
        <f>(COUNTIF(M88:M103, "X"))/((COUNTA($C$25:$C$39))-(COUNTA(O88:O103)))</f>
        <v>0</v>
      </c>
      <c r="N104" s="138"/>
      <c r="O104" s="139"/>
      <c r="P104" s="137">
        <f>(COUNTIF(P88:P103, "X"))/((COUNTA($C$25:$C$39))-(COUNTA(R88:R103)))</f>
        <v>0</v>
      </c>
      <c r="Q104" s="138"/>
      <c r="R104" s="139"/>
      <c r="S104" s="137">
        <f>(COUNTIF(S88:S103, "X"))/((COUNTA($C$25:$C$39))-(COUNTA(U88:U103)))</f>
        <v>0</v>
      </c>
      <c r="T104" s="138"/>
      <c r="U104" s="139"/>
    </row>
    <row r="105" spans="2:21" ht="14.4" customHeight="1">
      <c r="B105" s="94" t="s">
        <v>188</v>
      </c>
      <c r="C105" s="94" t="s">
        <v>231</v>
      </c>
      <c r="D105" s="78"/>
      <c r="E105" s="5"/>
      <c r="F105" s="17"/>
      <c r="G105" s="78"/>
      <c r="H105" s="5"/>
      <c r="I105" s="17"/>
      <c r="J105" s="16"/>
      <c r="K105" s="5"/>
      <c r="L105" s="17"/>
      <c r="M105" s="16"/>
      <c r="N105" s="5"/>
      <c r="O105" s="17"/>
      <c r="P105" s="16"/>
      <c r="Q105" s="5"/>
      <c r="R105" s="17"/>
      <c r="S105" s="16"/>
      <c r="T105" s="5"/>
      <c r="U105" s="17"/>
    </row>
    <row r="106" spans="2:21" ht="15.6">
      <c r="B106" s="11">
        <v>1</v>
      </c>
      <c r="C106" s="72" t="s">
        <v>205</v>
      </c>
      <c r="D106" s="11"/>
      <c r="E106" s="2"/>
      <c r="F106" s="12"/>
      <c r="G106" s="11"/>
      <c r="H106" s="2"/>
      <c r="I106" s="12"/>
      <c r="J106" s="11"/>
      <c r="K106" s="2"/>
      <c r="L106" s="12"/>
      <c r="M106" s="11"/>
      <c r="N106" s="2"/>
      <c r="O106" s="12"/>
      <c r="P106" s="11"/>
      <c r="Q106" s="2"/>
      <c r="R106" s="12"/>
      <c r="S106" s="11"/>
      <c r="T106" s="2"/>
      <c r="U106" s="12"/>
    </row>
    <row r="107" spans="2:21" ht="15.6">
      <c r="B107" s="11">
        <v>2</v>
      </c>
      <c r="C107" s="72" t="s">
        <v>206</v>
      </c>
      <c r="D107" s="11"/>
      <c r="E107" s="2"/>
      <c r="F107" s="12"/>
      <c r="G107" s="11"/>
      <c r="H107" s="2"/>
      <c r="I107" s="12"/>
      <c r="J107" s="11"/>
      <c r="K107" s="2"/>
      <c r="L107" s="12"/>
      <c r="M107" s="11"/>
      <c r="N107" s="2"/>
      <c r="O107" s="12"/>
      <c r="P107" s="11"/>
      <c r="Q107" s="2"/>
      <c r="R107" s="12"/>
      <c r="S107" s="11"/>
      <c r="T107" s="2"/>
      <c r="U107" s="12"/>
    </row>
    <row r="108" spans="2:21" ht="15.6">
      <c r="B108" s="11">
        <v>3</v>
      </c>
      <c r="C108" s="72" t="s">
        <v>96</v>
      </c>
      <c r="D108" s="11"/>
      <c r="E108" s="2"/>
      <c r="F108" s="12"/>
      <c r="G108" s="11"/>
      <c r="H108" s="2"/>
      <c r="I108" s="12"/>
      <c r="J108" s="11"/>
      <c r="K108" s="2"/>
      <c r="L108" s="12"/>
      <c r="M108" s="11"/>
      <c r="N108" s="2"/>
      <c r="O108" s="12"/>
      <c r="P108" s="11"/>
      <c r="Q108" s="2"/>
      <c r="R108" s="12"/>
      <c r="S108" s="11"/>
      <c r="T108" s="2"/>
      <c r="U108" s="12"/>
    </row>
    <row r="109" spans="2:21" ht="15.6">
      <c r="B109" s="11">
        <v>4</v>
      </c>
      <c r="C109" s="74" t="s">
        <v>226</v>
      </c>
      <c r="D109" s="22"/>
      <c r="E109" s="23"/>
      <c r="F109" s="24"/>
      <c r="G109" s="22"/>
      <c r="H109" s="23"/>
      <c r="I109" s="24"/>
      <c r="J109" s="22"/>
      <c r="K109" s="23"/>
      <c r="L109" s="24"/>
      <c r="M109" s="22"/>
      <c r="N109" s="23"/>
      <c r="O109" s="24"/>
      <c r="P109" s="22"/>
      <c r="Q109" s="23"/>
      <c r="R109" s="24"/>
      <c r="S109" s="22"/>
      <c r="T109" s="23"/>
      <c r="U109" s="24"/>
    </row>
    <row r="110" spans="2:21" ht="15" customHeight="1">
      <c r="B110" s="11">
        <v>5</v>
      </c>
      <c r="C110" s="74" t="s">
        <v>227</v>
      </c>
      <c r="D110" s="22"/>
      <c r="E110" s="23"/>
      <c r="F110" s="24"/>
      <c r="G110" s="22"/>
      <c r="H110" s="23"/>
      <c r="I110" s="24"/>
      <c r="J110" s="22"/>
      <c r="K110" s="23"/>
      <c r="L110" s="24"/>
      <c r="M110" s="22"/>
      <c r="N110" s="23"/>
      <c r="O110" s="24"/>
      <c r="P110" s="22"/>
      <c r="Q110" s="23"/>
      <c r="R110" s="24"/>
      <c r="S110" s="22"/>
      <c r="T110" s="23"/>
      <c r="U110" s="24"/>
    </row>
    <row r="111" spans="2:21" ht="15.6">
      <c r="B111" s="11">
        <v>6</v>
      </c>
      <c r="C111" s="74" t="s">
        <v>125</v>
      </c>
      <c r="D111" s="22"/>
      <c r="E111" s="23"/>
      <c r="F111" s="24"/>
      <c r="G111" s="22"/>
      <c r="H111" s="23"/>
      <c r="I111" s="24"/>
      <c r="J111" s="22"/>
      <c r="K111" s="23"/>
      <c r="L111" s="24"/>
      <c r="M111" s="22"/>
      <c r="N111" s="23"/>
      <c r="O111" s="24"/>
      <c r="P111" s="22"/>
      <c r="Q111" s="23"/>
      <c r="R111" s="24"/>
      <c r="S111" s="22"/>
      <c r="T111" s="23"/>
      <c r="U111" s="24"/>
    </row>
    <row r="112" spans="2:21" ht="15.6">
      <c r="B112" s="11">
        <v>7</v>
      </c>
      <c r="C112" s="74" t="s">
        <v>119</v>
      </c>
      <c r="D112" s="22"/>
      <c r="E112" s="23"/>
      <c r="F112" s="24"/>
      <c r="G112" s="22"/>
      <c r="H112" s="23"/>
      <c r="I112" s="24"/>
      <c r="J112" s="22"/>
      <c r="K112" s="23"/>
      <c r="L112" s="24"/>
      <c r="M112" s="22"/>
      <c r="N112" s="23"/>
      <c r="O112" s="24"/>
      <c r="P112" s="22"/>
      <c r="Q112" s="23"/>
      <c r="R112" s="24"/>
      <c r="S112" s="22"/>
      <c r="T112" s="23"/>
      <c r="U112" s="24"/>
    </row>
    <row r="113" spans="2:21" ht="15.6">
      <c r="B113" s="11">
        <v>8</v>
      </c>
      <c r="C113" s="74" t="s">
        <v>224</v>
      </c>
      <c r="D113" s="22"/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9</v>
      </c>
      <c r="C114" s="74" t="s">
        <v>207</v>
      </c>
      <c r="D114" s="22"/>
      <c r="E114" s="23"/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10</v>
      </c>
      <c r="C115" s="74" t="s">
        <v>225</v>
      </c>
      <c r="D115" s="22"/>
      <c r="E115" s="23"/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5.6">
      <c r="B116" s="11">
        <v>11</v>
      </c>
      <c r="C116" s="74" t="s">
        <v>208</v>
      </c>
      <c r="D116" s="22"/>
      <c r="E116" s="23"/>
      <c r="F116" s="24"/>
      <c r="G116" s="22"/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 ht="15.6">
      <c r="B117" s="11">
        <v>12</v>
      </c>
      <c r="C117" s="74" t="s">
        <v>223</v>
      </c>
      <c r="D117" s="22"/>
      <c r="E117" s="23"/>
      <c r="F117" s="24"/>
      <c r="G117" s="22"/>
      <c r="H117" s="23"/>
      <c r="I117" s="24"/>
      <c r="J117" s="22"/>
      <c r="K117" s="23"/>
      <c r="L117" s="24"/>
      <c r="M117" s="22"/>
      <c r="N117" s="23"/>
      <c r="O117" s="24"/>
      <c r="P117" s="22"/>
      <c r="Q117" s="23"/>
      <c r="R117" s="24"/>
      <c r="S117" s="22"/>
      <c r="T117" s="23"/>
      <c r="U117" s="24"/>
    </row>
    <row r="118" spans="2:21" ht="16.2" thickBot="1">
      <c r="B118" s="11">
        <v>13</v>
      </c>
      <c r="C118" s="74" t="s">
        <v>180</v>
      </c>
      <c r="D118" s="22"/>
      <c r="E118" s="23"/>
      <c r="F118" s="24"/>
      <c r="G118" s="22"/>
      <c r="H118" s="23"/>
      <c r="I118" s="24"/>
      <c r="J118" s="22"/>
      <c r="K118" s="23"/>
      <c r="L118" s="24"/>
      <c r="M118" s="22"/>
      <c r="N118" s="23"/>
      <c r="O118" s="24"/>
      <c r="P118" s="22"/>
      <c r="Q118" s="23"/>
      <c r="R118" s="24"/>
      <c r="S118" s="22"/>
      <c r="T118" s="23"/>
      <c r="U118" s="24"/>
    </row>
    <row r="119" spans="2:21">
      <c r="B119" s="142" t="s">
        <v>14</v>
      </c>
      <c r="C119" s="143"/>
      <c r="D119" s="149">
        <f>(COUNTIF(D106:D118, "X"))/((COUNTA($C$106:$C$118))-(COUNTA(F106:F118)))</f>
        <v>0</v>
      </c>
      <c r="E119" s="150"/>
      <c r="F119" s="151"/>
      <c r="G119" s="149">
        <f>(COUNTIF(G106:G118, "X"))/((COUNTA($C$106:$C$118))-(COUNTA(I106:I118)))</f>
        <v>0</v>
      </c>
      <c r="H119" s="150"/>
      <c r="I119" s="151"/>
      <c r="J119" s="149">
        <f>(COUNTIF(J106:J118, "X"))/((COUNTA($C$67:$C$75))-(COUNTA(L106:L118)))</f>
        <v>0</v>
      </c>
      <c r="K119" s="150"/>
      <c r="L119" s="151"/>
      <c r="M119" s="149">
        <f>(COUNTIF(M106:M118, "X"))/((COUNTA($C$67:$C$75))-(COUNTA(O106:O118)))</f>
        <v>0</v>
      </c>
      <c r="N119" s="150"/>
      <c r="O119" s="151"/>
      <c r="P119" s="149">
        <f>(COUNTIF(P106:P118, "X"))/((COUNTA($C$67:$C$75))-(COUNTA(R106:R118)))</f>
        <v>0</v>
      </c>
      <c r="Q119" s="150"/>
      <c r="R119" s="151"/>
      <c r="S119" s="149">
        <f>(COUNTIF(S106:S118, "X"))/((COUNTA($C$67:$C$75))-(COUNTA(U106:U118)))</f>
        <v>0</v>
      </c>
      <c r="T119" s="150"/>
      <c r="U119" s="151"/>
    </row>
  </sheetData>
  <mergeCells count="64">
    <mergeCell ref="S3:U4"/>
    <mergeCell ref="B5:C5"/>
    <mergeCell ref="B23:C23"/>
    <mergeCell ref="D23:F23"/>
    <mergeCell ref="G23:I23"/>
    <mergeCell ref="J23:L23"/>
    <mergeCell ref="M23:O23"/>
    <mergeCell ref="P23:R23"/>
    <mergeCell ref="S23:U23"/>
    <mergeCell ref="B3:C4"/>
    <mergeCell ref="E3:F4"/>
    <mergeCell ref="H3:I4"/>
    <mergeCell ref="K3:L4"/>
    <mergeCell ref="N3:O4"/>
    <mergeCell ref="Q3:R4"/>
    <mergeCell ref="B40:C40"/>
    <mergeCell ref="D40:F40"/>
    <mergeCell ref="G40:I40"/>
    <mergeCell ref="J40:L40"/>
    <mergeCell ref="P40:R40"/>
    <mergeCell ref="S40:U40"/>
    <mergeCell ref="J59:L59"/>
    <mergeCell ref="M59:O59"/>
    <mergeCell ref="P59:R59"/>
    <mergeCell ref="S59:U59"/>
    <mergeCell ref="M40:O40"/>
    <mergeCell ref="B60:C60"/>
    <mergeCell ref="B65:C65"/>
    <mergeCell ref="D65:F65"/>
    <mergeCell ref="G65:I65"/>
    <mergeCell ref="J65:L65"/>
    <mergeCell ref="P65:R65"/>
    <mergeCell ref="S65:U65"/>
    <mergeCell ref="B66:C66"/>
    <mergeCell ref="B80:C80"/>
    <mergeCell ref="D80:F80"/>
    <mergeCell ref="G80:I80"/>
    <mergeCell ref="J80:L80"/>
    <mergeCell ref="M80:O80"/>
    <mergeCell ref="P80:R80"/>
    <mergeCell ref="S80:U80"/>
    <mergeCell ref="M65:O65"/>
    <mergeCell ref="B81:C81"/>
    <mergeCell ref="B86:C86"/>
    <mergeCell ref="D86:F86"/>
    <mergeCell ref="G86:I86"/>
    <mergeCell ref="J86:L86"/>
    <mergeCell ref="P86:R86"/>
    <mergeCell ref="S86:U86"/>
    <mergeCell ref="B104:C104"/>
    <mergeCell ref="D104:F104"/>
    <mergeCell ref="G104:I104"/>
    <mergeCell ref="J104:L104"/>
    <mergeCell ref="M104:O104"/>
    <mergeCell ref="P104:R104"/>
    <mergeCell ref="S104:U104"/>
    <mergeCell ref="M86:O86"/>
    <mergeCell ref="P119:R119"/>
    <mergeCell ref="S119:U119"/>
    <mergeCell ref="M119:O119"/>
    <mergeCell ref="B119:C119"/>
    <mergeCell ref="D119:F119"/>
    <mergeCell ref="G119:I119"/>
    <mergeCell ref="J119:L1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A4DD-6631-409E-811B-884A4DA037BA}">
  <dimension ref="B1:X120"/>
  <sheetViews>
    <sheetView showGridLines="0" zoomScale="110" zoomScaleNormal="110" workbookViewId="0">
      <pane xSplit="3" ySplit="5" topLeftCell="D57" activePane="bottomRight" state="frozen"/>
      <selection pane="topRight" activeCell="D1" sqref="D1"/>
      <selection pane="bottomLeft" activeCell="A7" sqref="A7"/>
      <selection pane="bottomRight" activeCell="E21" sqref="E21"/>
    </sheetView>
  </sheetViews>
  <sheetFormatPr baseColWidth="10" defaultRowHeight="14.4"/>
  <cols>
    <col min="1" max="1" width="3.88671875" customWidth="1"/>
    <col min="2" max="2" width="3.33203125" style="1" customWidth="1"/>
    <col min="3" max="3" width="58.77734375" customWidth="1"/>
    <col min="4" max="5" width="11.6640625" customWidth="1"/>
    <col min="6" max="6" width="10.5546875" bestFit="1" customWidth="1"/>
    <col min="7" max="7" width="11.6640625" bestFit="1" customWidth="1"/>
    <col min="8" max="9" width="11.5546875" customWidth="1"/>
    <col min="10" max="10" width="10.5546875" customWidth="1"/>
    <col min="11" max="12" width="11.5546875" customWidth="1"/>
    <col min="13" max="13" width="10.5546875" customWidth="1"/>
    <col min="14" max="15" width="11.5546875" customWidth="1"/>
    <col min="16" max="16" width="10.5546875" customWidth="1"/>
    <col min="17" max="18" width="11.5546875" customWidth="1"/>
    <col min="19" max="19" width="10.5546875" customWidth="1"/>
    <col min="20" max="21" width="11.5546875" customWidth="1"/>
  </cols>
  <sheetData>
    <row r="1" spans="2:24" ht="15" thickBot="1"/>
    <row r="2" spans="2:24">
      <c r="B2" s="117" t="s">
        <v>43</v>
      </c>
      <c r="C2" s="118"/>
      <c r="D2" s="64" t="s">
        <v>0</v>
      </c>
      <c r="E2" s="169">
        <v>46055</v>
      </c>
      <c r="F2" s="170"/>
      <c r="G2" s="64" t="s">
        <v>0</v>
      </c>
      <c r="H2" s="169">
        <v>46055</v>
      </c>
      <c r="I2" s="170"/>
      <c r="J2" s="64" t="s">
        <v>0</v>
      </c>
      <c r="K2" s="169">
        <f t="shared" ref="K2" si="0">H2+1</f>
        <v>46056</v>
      </c>
      <c r="L2" s="170"/>
      <c r="M2" s="64" t="s">
        <v>0</v>
      </c>
      <c r="N2" s="169">
        <f t="shared" ref="N2" si="1">K2+1</f>
        <v>46057</v>
      </c>
      <c r="O2" s="170"/>
      <c r="P2" s="64" t="s">
        <v>0</v>
      </c>
      <c r="Q2" s="169">
        <f t="shared" ref="Q2" si="2">N2+1</f>
        <v>46058</v>
      </c>
      <c r="R2" s="170"/>
      <c r="S2" s="158" t="s">
        <v>100</v>
      </c>
      <c r="T2" s="159"/>
      <c r="U2" s="160"/>
    </row>
    <row r="3" spans="2:24">
      <c r="B3" s="119"/>
      <c r="C3" s="120"/>
      <c r="D3" s="11" t="s">
        <v>1</v>
      </c>
      <c r="E3" s="171"/>
      <c r="F3" s="172"/>
      <c r="G3" s="11" t="s">
        <v>1</v>
      </c>
      <c r="H3" s="171"/>
      <c r="I3" s="172"/>
      <c r="J3" s="11" t="s">
        <v>1</v>
      </c>
      <c r="K3" s="171">
        <v>45916</v>
      </c>
      <c r="L3" s="172"/>
      <c r="M3" s="11" t="s">
        <v>1</v>
      </c>
      <c r="N3" s="171">
        <v>45916</v>
      </c>
      <c r="O3" s="172"/>
      <c r="P3" s="11" t="s">
        <v>1</v>
      </c>
      <c r="Q3" s="171">
        <v>45916</v>
      </c>
      <c r="R3" s="172"/>
      <c r="S3" s="161"/>
      <c r="T3" s="162"/>
      <c r="U3" s="163"/>
    </row>
    <row r="4" spans="2:24">
      <c r="B4" s="131" t="s">
        <v>131</v>
      </c>
      <c r="C4" s="132"/>
      <c r="D4" s="13" t="s">
        <v>2</v>
      </c>
      <c r="E4" s="3" t="s">
        <v>3</v>
      </c>
      <c r="F4" s="65" t="s">
        <v>4</v>
      </c>
      <c r="G4" s="13" t="s">
        <v>2</v>
      </c>
      <c r="H4" s="3" t="s">
        <v>3</v>
      </c>
      <c r="I4" s="65" t="s">
        <v>4</v>
      </c>
      <c r="J4" s="13" t="s">
        <v>2</v>
      </c>
      <c r="K4" s="3" t="s">
        <v>3</v>
      </c>
      <c r="L4" s="65" t="s">
        <v>4</v>
      </c>
      <c r="M4" s="13" t="s">
        <v>2</v>
      </c>
      <c r="N4" s="3" t="s">
        <v>3</v>
      </c>
      <c r="O4" s="65" t="s">
        <v>4</v>
      </c>
      <c r="P4" s="13" t="s">
        <v>2</v>
      </c>
      <c r="Q4" s="3" t="s">
        <v>3</v>
      </c>
      <c r="R4" s="65" t="s">
        <v>4</v>
      </c>
      <c r="S4" s="13" t="s">
        <v>2</v>
      </c>
      <c r="T4" s="3" t="s">
        <v>3</v>
      </c>
      <c r="U4" s="65" t="s">
        <v>4</v>
      </c>
    </row>
    <row r="5" spans="2:24" ht="19.95" customHeight="1">
      <c r="B5" s="80" t="s">
        <v>188</v>
      </c>
      <c r="C5" s="94" t="s">
        <v>129</v>
      </c>
      <c r="D5" s="79"/>
      <c r="E5" s="4"/>
      <c r="F5" s="15"/>
      <c r="G5" s="79"/>
      <c r="H5" s="4"/>
      <c r="I5" s="15"/>
      <c r="J5" s="14"/>
      <c r="K5" s="4"/>
      <c r="L5" s="15"/>
      <c r="M5" s="14"/>
      <c r="N5" s="4"/>
      <c r="O5" s="15"/>
      <c r="P5" s="14"/>
      <c r="Q5" s="4"/>
      <c r="R5" s="15"/>
      <c r="S5" s="14"/>
      <c r="T5" s="4"/>
      <c r="U5" s="15"/>
      <c r="W5" t="s">
        <v>101</v>
      </c>
      <c r="X5" s="75"/>
    </row>
    <row r="6" spans="2:24" ht="16.95" customHeight="1">
      <c r="B6" s="11">
        <v>1</v>
      </c>
      <c r="C6" s="72" t="s">
        <v>127</v>
      </c>
      <c r="D6" s="11" t="s">
        <v>72</v>
      </c>
      <c r="E6" s="2"/>
      <c r="F6" s="12"/>
      <c r="G6" s="11"/>
      <c r="H6" s="2"/>
      <c r="I6" s="12"/>
      <c r="J6" s="11"/>
      <c r="K6" s="2"/>
      <c r="L6" s="12"/>
      <c r="M6" s="11"/>
      <c r="N6" s="2"/>
      <c r="O6" s="12"/>
      <c r="P6" s="11"/>
      <c r="Q6" s="2"/>
      <c r="R6" s="12"/>
      <c r="S6" s="11"/>
      <c r="T6" s="2"/>
      <c r="U6" s="12"/>
      <c r="W6" t="s">
        <v>102</v>
      </c>
      <c r="X6" s="76"/>
    </row>
    <row r="7" spans="2:24" ht="16.95" customHeight="1">
      <c r="B7" s="11">
        <v>2</v>
      </c>
      <c r="C7" s="72" t="s">
        <v>182</v>
      </c>
      <c r="D7" s="11" t="s">
        <v>72</v>
      </c>
      <c r="E7" s="2"/>
      <c r="F7" s="12"/>
      <c r="G7" s="11"/>
      <c r="H7" s="2"/>
      <c r="I7" s="12"/>
      <c r="J7" s="11"/>
      <c r="K7" s="2"/>
      <c r="L7" s="12"/>
      <c r="M7" s="11"/>
      <c r="N7" s="2"/>
      <c r="O7" s="12"/>
      <c r="P7" s="11"/>
      <c r="Q7" s="2"/>
      <c r="R7" s="12"/>
      <c r="S7" s="11"/>
      <c r="T7" s="2"/>
      <c r="U7" s="12"/>
    </row>
    <row r="8" spans="2:24" ht="16.95" customHeight="1">
      <c r="B8" s="11">
        <v>3</v>
      </c>
      <c r="C8" s="72" t="s">
        <v>183</v>
      </c>
      <c r="D8" s="11" t="s">
        <v>72</v>
      </c>
      <c r="E8" s="2"/>
      <c r="F8" s="12"/>
      <c r="G8" s="11"/>
      <c r="H8" s="2"/>
      <c r="I8" s="12"/>
      <c r="J8" s="11"/>
      <c r="K8" s="2"/>
      <c r="L8" s="12"/>
      <c r="M8" s="11"/>
      <c r="N8" s="2"/>
      <c r="O8" s="12"/>
      <c r="P8" s="11"/>
      <c r="Q8" s="2"/>
      <c r="R8" s="12"/>
      <c r="S8" s="11"/>
      <c r="T8" s="2"/>
      <c r="U8" s="12"/>
    </row>
    <row r="9" spans="2:24" ht="16.95" customHeight="1">
      <c r="B9" s="11">
        <v>4</v>
      </c>
      <c r="C9" s="74" t="s">
        <v>126</v>
      </c>
      <c r="D9" s="11" t="s">
        <v>72</v>
      </c>
      <c r="E9" s="2"/>
      <c r="F9" s="12"/>
      <c r="G9" s="11"/>
      <c r="H9" s="2"/>
      <c r="I9" s="12"/>
      <c r="J9" s="11"/>
      <c r="K9" s="2"/>
      <c r="L9" s="12"/>
      <c r="M9" s="11"/>
      <c r="N9" s="2"/>
      <c r="O9" s="12"/>
      <c r="P9" s="11"/>
      <c r="Q9" s="2"/>
      <c r="R9" s="12"/>
      <c r="S9" s="11"/>
      <c r="T9" s="2"/>
      <c r="U9" s="12"/>
    </row>
    <row r="10" spans="2:24" ht="16.95" customHeight="1">
      <c r="B10" s="11">
        <v>5</v>
      </c>
      <c r="C10" s="74" t="s">
        <v>140</v>
      </c>
      <c r="D10" s="11" t="s">
        <v>72</v>
      </c>
      <c r="E10" s="2"/>
      <c r="F10" s="12"/>
      <c r="G10" s="11"/>
      <c r="H10" s="2"/>
      <c r="I10" s="12"/>
      <c r="J10" s="11"/>
      <c r="K10" s="2"/>
      <c r="L10" s="12"/>
      <c r="M10" s="11"/>
      <c r="N10" s="2"/>
      <c r="O10" s="12"/>
      <c r="P10" s="11"/>
      <c r="Q10" s="2"/>
      <c r="R10" s="12"/>
      <c r="S10" s="11"/>
      <c r="T10" s="2"/>
      <c r="U10" s="12"/>
    </row>
    <row r="11" spans="2:24" ht="16.95" customHeight="1">
      <c r="B11" s="11">
        <v>6</v>
      </c>
      <c r="C11" s="74" t="s">
        <v>184</v>
      </c>
      <c r="D11" s="11" t="s">
        <v>72</v>
      </c>
      <c r="E11" s="2"/>
      <c r="F11" s="12"/>
      <c r="G11" s="11"/>
      <c r="H11" s="2"/>
      <c r="I11" s="12"/>
      <c r="J11" s="11"/>
      <c r="K11" s="2"/>
      <c r="L11" s="12"/>
      <c r="M11" s="11"/>
      <c r="N11" s="2"/>
      <c r="O11" s="12"/>
      <c r="P11" s="11"/>
      <c r="Q11" s="2"/>
      <c r="R11" s="12"/>
      <c r="S11" s="11"/>
      <c r="T11" s="2"/>
      <c r="U11" s="12"/>
    </row>
    <row r="12" spans="2:24" ht="16.95" customHeight="1">
      <c r="B12" s="11">
        <v>7</v>
      </c>
      <c r="C12" s="74" t="s">
        <v>185</v>
      </c>
      <c r="D12" s="11" t="s">
        <v>72</v>
      </c>
      <c r="E12" s="2"/>
      <c r="F12" s="12"/>
      <c r="G12" s="11"/>
      <c r="H12" s="2"/>
      <c r="I12" s="12"/>
      <c r="J12" s="11"/>
      <c r="K12" s="2"/>
      <c r="L12" s="12"/>
      <c r="M12" s="11"/>
      <c r="N12" s="2"/>
      <c r="O12" s="12"/>
      <c r="P12" s="11"/>
      <c r="Q12" s="2"/>
      <c r="R12" s="12"/>
      <c r="S12" s="11"/>
      <c r="T12" s="2"/>
      <c r="U12" s="12"/>
    </row>
    <row r="13" spans="2:24" ht="16.95" customHeight="1">
      <c r="B13" s="11">
        <v>8</v>
      </c>
      <c r="C13" s="74" t="s">
        <v>186</v>
      </c>
      <c r="D13" s="11" t="s">
        <v>72</v>
      </c>
      <c r="E13" s="2"/>
      <c r="F13" s="12"/>
      <c r="G13" s="11"/>
      <c r="H13" s="2"/>
      <c r="I13" s="12"/>
      <c r="J13" s="11"/>
      <c r="K13" s="2"/>
      <c r="L13" s="12"/>
      <c r="M13" s="11"/>
      <c r="N13" s="2"/>
      <c r="O13" s="12"/>
      <c r="P13" s="11"/>
      <c r="Q13" s="2"/>
      <c r="R13" s="12"/>
      <c r="S13" s="11"/>
      <c r="T13" s="2"/>
      <c r="U13" s="12"/>
    </row>
    <row r="14" spans="2:24" ht="16.95" customHeight="1">
      <c r="B14" s="11">
        <v>9</v>
      </c>
      <c r="C14" s="74" t="s">
        <v>128</v>
      </c>
      <c r="D14" s="11" t="s">
        <v>72</v>
      </c>
      <c r="E14" s="2"/>
      <c r="F14" s="12"/>
      <c r="G14" s="11"/>
      <c r="H14" s="2"/>
      <c r="I14" s="12"/>
      <c r="J14" s="11"/>
      <c r="K14" s="2"/>
      <c r="L14" s="12"/>
      <c r="M14" s="11"/>
      <c r="N14" s="2"/>
      <c r="O14" s="12"/>
      <c r="P14" s="11"/>
      <c r="Q14" s="2"/>
      <c r="R14" s="12"/>
      <c r="S14" s="11"/>
      <c r="T14" s="2"/>
      <c r="U14" s="12"/>
    </row>
    <row r="15" spans="2:24" ht="16.95" customHeight="1">
      <c r="B15" s="11">
        <v>10</v>
      </c>
      <c r="C15" s="74" t="s">
        <v>165</v>
      </c>
      <c r="D15" s="22"/>
      <c r="E15" s="23"/>
      <c r="F15" s="24" t="s">
        <v>72</v>
      </c>
      <c r="G15" s="22"/>
      <c r="H15" s="23"/>
      <c r="I15" s="24"/>
      <c r="J15" s="22"/>
      <c r="K15" s="23"/>
      <c r="L15" s="24"/>
      <c r="M15" s="22"/>
      <c r="N15" s="23"/>
      <c r="O15" s="24"/>
      <c r="P15" s="22"/>
      <c r="Q15" s="23"/>
      <c r="R15" s="24"/>
      <c r="S15" s="22"/>
      <c r="T15" s="23"/>
      <c r="U15" s="24"/>
    </row>
    <row r="16" spans="2:24" ht="16.95" customHeight="1" thickBot="1">
      <c r="B16" s="11">
        <v>11</v>
      </c>
      <c r="C16" s="74" t="s">
        <v>180</v>
      </c>
      <c r="D16" s="22" t="s">
        <v>72</v>
      </c>
      <c r="E16" s="23"/>
      <c r="F16" s="24"/>
      <c r="G16" s="22"/>
      <c r="H16" s="23"/>
      <c r="I16" s="24"/>
      <c r="J16" s="22"/>
      <c r="K16" s="23"/>
      <c r="L16" s="24"/>
      <c r="M16" s="22"/>
      <c r="N16" s="23"/>
      <c r="O16" s="24"/>
      <c r="P16" s="22"/>
      <c r="Q16" s="23"/>
      <c r="R16" s="24"/>
      <c r="S16" s="22"/>
      <c r="T16" s="23"/>
      <c r="U16" s="24"/>
    </row>
    <row r="17" spans="2:21" ht="16.95" customHeight="1" thickBot="1">
      <c r="B17" s="135" t="s">
        <v>14</v>
      </c>
      <c r="C17" s="136"/>
      <c r="D17" s="137">
        <f>(COUNTIF(D6:D16, "X"))/((COUNTA($C$6:$C$16))-(COUNTA(F6:F16)))</f>
        <v>1</v>
      </c>
      <c r="E17" s="138"/>
      <c r="F17" s="139"/>
      <c r="G17" s="137">
        <f>(COUNTIF(G6:G16, "X"))/((COUNTA($C$6:$C$16))-(COUNTA(I6:I16)))</f>
        <v>0</v>
      </c>
      <c r="H17" s="138"/>
      <c r="I17" s="139"/>
      <c r="J17" s="137">
        <f>(COUNTIF(J6:J16, "X"))/((COUNTA($C$6:$C$16))-(COUNTA(L6:L16)))</f>
        <v>0</v>
      </c>
      <c r="K17" s="138"/>
      <c r="L17" s="139"/>
      <c r="M17" s="137">
        <f>(COUNTIF(M6:M16, "X"))/((COUNTA($C$6:$C$16))-(COUNTA(O6:O16)))</f>
        <v>0</v>
      </c>
      <c r="N17" s="138"/>
      <c r="O17" s="139"/>
      <c r="P17" s="137">
        <f>(COUNTIF(P6:P16, "X"))/((COUNTA($C$6:$C$16))-(COUNTA(R6:R16)))</f>
        <v>0</v>
      </c>
      <c r="Q17" s="138"/>
      <c r="R17" s="139"/>
      <c r="S17" s="137">
        <f>(COUNTIF(S6:S16, "X"))/((COUNTA($C$6:$C$16))-(COUNTA(U6:U16)))</f>
        <v>0</v>
      </c>
      <c r="T17" s="138"/>
      <c r="U17" s="139"/>
    </row>
    <row r="18" spans="2:21" ht="14.4" customHeight="1">
      <c r="B18" s="95" t="s">
        <v>188</v>
      </c>
      <c r="C18" s="95" t="s">
        <v>130</v>
      </c>
      <c r="D18" s="80">
        <v>46147</v>
      </c>
      <c r="E18" s="26"/>
      <c r="F18" s="27"/>
      <c r="G18" s="80"/>
      <c r="H18" s="26"/>
      <c r="I18" s="27"/>
      <c r="J18" s="25"/>
      <c r="K18" s="26"/>
      <c r="L18" s="27"/>
      <c r="M18" s="25"/>
      <c r="N18" s="26"/>
      <c r="O18" s="27"/>
      <c r="P18" s="25"/>
      <c r="Q18" s="26"/>
      <c r="R18" s="27"/>
      <c r="S18" s="25"/>
      <c r="T18" s="26"/>
      <c r="U18" s="27"/>
    </row>
    <row r="19" spans="2:21" ht="15.6">
      <c r="B19" s="11">
        <v>1</v>
      </c>
      <c r="C19" s="72" t="s">
        <v>127</v>
      </c>
      <c r="D19" s="11"/>
      <c r="E19" s="2" t="s">
        <v>72</v>
      </c>
      <c r="F19" s="12"/>
      <c r="G19" s="11"/>
      <c r="H19" s="2"/>
      <c r="I19" s="12"/>
      <c r="J19" s="11"/>
      <c r="K19" s="2"/>
      <c r="L19" s="12"/>
      <c r="M19" s="11"/>
      <c r="N19" s="2"/>
      <c r="O19" s="12"/>
      <c r="P19" s="11"/>
      <c r="Q19" s="2"/>
      <c r="R19" s="12"/>
      <c r="S19" s="11"/>
      <c r="T19" s="2"/>
      <c r="U19" s="12"/>
    </row>
    <row r="20" spans="2:21" ht="15.6">
      <c r="B20" s="11">
        <v>2</v>
      </c>
      <c r="C20" s="72" t="s">
        <v>182</v>
      </c>
      <c r="D20" s="11" t="s">
        <v>72</v>
      </c>
      <c r="E20" s="2"/>
      <c r="F20" s="12"/>
      <c r="G20" s="11"/>
      <c r="H20" s="2"/>
      <c r="I20" s="12"/>
      <c r="J20" s="11"/>
      <c r="K20" s="2"/>
      <c r="L20" s="12"/>
      <c r="M20" s="11"/>
      <c r="N20" s="2"/>
      <c r="O20" s="12"/>
      <c r="P20" s="11"/>
      <c r="Q20" s="2"/>
      <c r="R20" s="12"/>
      <c r="S20" s="11"/>
      <c r="T20" s="2"/>
      <c r="U20" s="12"/>
    </row>
    <row r="21" spans="2:21" ht="15.6">
      <c r="B21" s="11">
        <v>3</v>
      </c>
      <c r="C21" s="72" t="s">
        <v>183</v>
      </c>
      <c r="D21" s="11" t="s">
        <v>72</v>
      </c>
      <c r="E21" s="2"/>
      <c r="F21" s="12"/>
      <c r="G21" s="11"/>
      <c r="H21" s="2"/>
      <c r="I21" s="12"/>
      <c r="J21" s="11"/>
      <c r="K21" s="2"/>
      <c r="L21" s="12"/>
      <c r="M21" s="11"/>
      <c r="N21" s="2"/>
      <c r="O21" s="12"/>
      <c r="P21" s="11"/>
      <c r="Q21" s="2"/>
      <c r="R21" s="12"/>
      <c r="S21" s="11"/>
      <c r="T21" s="2"/>
      <c r="U21" s="12"/>
    </row>
    <row r="22" spans="2:21" ht="15.6">
      <c r="B22" s="11">
        <v>4</v>
      </c>
      <c r="C22" s="74" t="s">
        <v>126</v>
      </c>
      <c r="D22" s="11" t="s">
        <v>72</v>
      </c>
      <c r="E22" s="2"/>
      <c r="F22" s="12"/>
      <c r="G22" s="11"/>
      <c r="H22" s="2"/>
      <c r="I22" s="12"/>
      <c r="J22" s="11"/>
      <c r="K22" s="2"/>
      <c r="L22" s="12"/>
      <c r="M22" s="11"/>
      <c r="N22" s="2"/>
      <c r="O22" s="12"/>
      <c r="P22" s="11"/>
      <c r="Q22" s="2"/>
      <c r="R22" s="12"/>
      <c r="S22" s="11"/>
      <c r="T22" s="2"/>
      <c r="U22" s="12"/>
    </row>
    <row r="23" spans="2:21" ht="15.6">
      <c r="B23" s="11">
        <v>5</v>
      </c>
      <c r="C23" s="74" t="s">
        <v>140</v>
      </c>
      <c r="D23" s="11" t="s">
        <v>72</v>
      </c>
      <c r="E23" s="2"/>
      <c r="F23" s="12"/>
      <c r="G23" s="11"/>
      <c r="H23" s="2"/>
      <c r="I23" s="12"/>
      <c r="J23" s="11"/>
      <c r="K23" s="2"/>
      <c r="L23" s="12"/>
      <c r="M23" s="11"/>
      <c r="N23" s="2"/>
      <c r="O23" s="12"/>
      <c r="P23" s="11"/>
      <c r="Q23" s="2"/>
      <c r="R23" s="12"/>
      <c r="S23" s="11"/>
      <c r="T23" s="2"/>
      <c r="U23" s="12"/>
    </row>
    <row r="24" spans="2:21" ht="15.6">
      <c r="B24" s="11">
        <v>6</v>
      </c>
      <c r="C24" s="74" t="s">
        <v>184</v>
      </c>
      <c r="D24" s="11" t="s">
        <v>72</v>
      </c>
      <c r="E24" s="2"/>
      <c r="F24" s="12"/>
      <c r="G24" s="11"/>
      <c r="H24" s="2"/>
      <c r="I24" s="12"/>
      <c r="J24" s="11"/>
      <c r="K24" s="2"/>
      <c r="L24" s="12"/>
      <c r="M24" s="11"/>
      <c r="N24" s="2"/>
      <c r="O24" s="12"/>
      <c r="P24" s="11"/>
      <c r="Q24" s="2"/>
      <c r="R24" s="12"/>
      <c r="S24" s="11"/>
      <c r="T24" s="2"/>
      <c r="U24" s="12"/>
    </row>
    <row r="25" spans="2:21" ht="15.6">
      <c r="B25" s="11">
        <v>7</v>
      </c>
      <c r="C25" s="74" t="s">
        <v>185</v>
      </c>
      <c r="D25" s="11" t="s">
        <v>72</v>
      </c>
      <c r="E25" s="2"/>
      <c r="F25" s="12"/>
      <c r="G25" s="11"/>
      <c r="H25" s="2"/>
      <c r="I25" s="12"/>
      <c r="J25" s="11"/>
      <c r="K25" s="2"/>
      <c r="L25" s="12"/>
      <c r="M25" s="11"/>
      <c r="N25" s="2"/>
      <c r="O25" s="12"/>
      <c r="P25" s="11"/>
      <c r="Q25" s="2"/>
      <c r="R25" s="12"/>
      <c r="S25" s="11"/>
      <c r="T25" s="2"/>
      <c r="U25" s="12"/>
    </row>
    <row r="26" spans="2:21" ht="15.6">
      <c r="B26" s="11">
        <v>8</v>
      </c>
      <c r="C26" s="74" t="s">
        <v>186</v>
      </c>
      <c r="D26" s="11" t="s">
        <v>72</v>
      </c>
      <c r="E26" s="2"/>
      <c r="F26" s="12"/>
      <c r="G26" s="11"/>
      <c r="H26" s="2"/>
      <c r="I26" s="12"/>
      <c r="J26" s="11"/>
      <c r="K26" s="2"/>
      <c r="L26" s="12"/>
      <c r="M26" s="11"/>
      <c r="N26" s="2"/>
      <c r="O26" s="12"/>
      <c r="P26" s="11"/>
      <c r="Q26" s="2"/>
      <c r="R26" s="12"/>
      <c r="S26" s="11"/>
      <c r="T26" s="2"/>
      <c r="U26" s="12"/>
    </row>
    <row r="27" spans="2:21" ht="15.6">
      <c r="B27" s="11">
        <v>9</v>
      </c>
      <c r="C27" s="74" t="s">
        <v>128</v>
      </c>
      <c r="D27" s="11" t="s">
        <v>72</v>
      </c>
      <c r="E27" s="2"/>
      <c r="F27" s="12"/>
      <c r="G27" s="11"/>
      <c r="H27" s="2"/>
      <c r="I27" s="12"/>
      <c r="J27" s="11"/>
      <c r="K27" s="2"/>
      <c r="L27" s="12"/>
      <c r="M27" s="11"/>
      <c r="N27" s="2"/>
      <c r="O27" s="12"/>
      <c r="P27" s="11"/>
      <c r="Q27" s="2"/>
      <c r="R27" s="12"/>
      <c r="S27" s="11"/>
      <c r="T27" s="2"/>
      <c r="U27" s="12"/>
    </row>
    <row r="28" spans="2:21" ht="15.6">
      <c r="B28" s="11">
        <v>10</v>
      </c>
      <c r="C28" s="74" t="s">
        <v>180</v>
      </c>
      <c r="D28" s="22" t="s">
        <v>72</v>
      </c>
      <c r="E28" s="23"/>
      <c r="F28" s="12"/>
      <c r="G28" s="11"/>
      <c r="H28" s="2"/>
      <c r="I28" s="12"/>
      <c r="J28" s="11"/>
      <c r="K28" s="2"/>
      <c r="L28" s="12"/>
      <c r="M28" s="11"/>
      <c r="N28" s="2"/>
      <c r="O28" s="12"/>
      <c r="P28" s="11"/>
      <c r="Q28" s="2"/>
      <c r="R28" s="12"/>
      <c r="S28" s="11"/>
      <c r="T28" s="2"/>
      <c r="U28" s="12"/>
    </row>
    <row r="29" spans="2:21" ht="15.6">
      <c r="B29" s="11">
        <v>11</v>
      </c>
      <c r="C29" s="74" t="s">
        <v>165</v>
      </c>
      <c r="D29" s="22" t="s">
        <v>72</v>
      </c>
      <c r="E29" s="23"/>
      <c r="F29" s="12"/>
      <c r="G29" s="11"/>
      <c r="H29" s="2"/>
      <c r="I29" s="12"/>
      <c r="J29" s="11"/>
      <c r="K29" s="2"/>
      <c r="L29" s="12"/>
      <c r="M29" s="11"/>
      <c r="N29" s="2"/>
      <c r="O29" s="12"/>
      <c r="P29" s="11"/>
      <c r="Q29" s="2"/>
      <c r="R29" s="12"/>
      <c r="S29" s="11"/>
      <c r="T29" s="2"/>
      <c r="U29" s="12"/>
    </row>
    <row r="30" spans="2:21" ht="15.6">
      <c r="B30" s="11">
        <v>12</v>
      </c>
      <c r="C30" s="74" t="s">
        <v>151</v>
      </c>
      <c r="D30" s="22" t="s">
        <v>72</v>
      </c>
      <c r="E30" s="23"/>
      <c r="F30" s="12"/>
      <c r="G30" s="11"/>
      <c r="H30" s="2"/>
      <c r="I30" s="12"/>
      <c r="J30" s="11"/>
      <c r="K30" s="2"/>
      <c r="L30" s="12"/>
      <c r="M30" s="11"/>
      <c r="N30" s="2"/>
      <c r="O30" s="12"/>
      <c r="P30" s="11"/>
      <c r="Q30" s="2"/>
      <c r="R30" s="12"/>
      <c r="S30" s="11"/>
      <c r="T30" s="2"/>
      <c r="U30" s="12"/>
    </row>
    <row r="31" spans="2:21" ht="16.2" thickBot="1">
      <c r="B31" s="11">
        <v>13</v>
      </c>
      <c r="C31" s="71" t="s">
        <v>187</v>
      </c>
      <c r="D31" s="22" t="s">
        <v>72</v>
      </c>
      <c r="E31" s="23"/>
      <c r="F31" s="12"/>
      <c r="G31" s="11"/>
      <c r="H31" s="2"/>
      <c r="I31" s="12"/>
      <c r="J31" s="11"/>
      <c r="K31" s="2"/>
      <c r="L31" s="12"/>
      <c r="M31" s="11"/>
      <c r="N31" s="2"/>
      <c r="O31" s="12"/>
      <c r="P31" s="11"/>
      <c r="Q31" s="2"/>
      <c r="R31" s="12"/>
      <c r="S31" s="11"/>
      <c r="T31" s="2"/>
      <c r="U31" s="12"/>
    </row>
    <row r="32" spans="2:21" ht="15" thickBot="1">
      <c r="B32" s="142" t="s">
        <v>14</v>
      </c>
      <c r="C32" s="143"/>
      <c r="D32" s="137">
        <f>(COUNTIF(D19:D31, "X"))/((COUNTA($C$19:$C$31))-(COUNTA(F19:F31)))</f>
        <v>0.92307692307692313</v>
      </c>
      <c r="E32" s="138"/>
      <c r="F32" s="139"/>
      <c r="G32" s="137">
        <f>(COUNTIF(G19:G31, "X"))/((COUNTA($C$19:$C$31))-(COUNTA(I19:I31)))</f>
        <v>0</v>
      </c>
      <c r="H32" s="138"/>
      <c r="I32" s="139"/>
      <c r="J32" s="137">
        <f>(COUNTIF(J19:J31, "X"))/((COUNTA($C$19:$C$31))-(COUNTA(L19:L31)))</f>
        <v>0</v>
      </c>
      <c r="K32" s="138"/>
      <c r="L32" s="139"/>
      <c r="M32" s="137">
        <f>(COUNTIF(M19:M31, "X"))/((COUNTA($C$19:$C$31))-(COUNTA(O19:O31)))</f>
        <v>0</v>
      </c>
      <c r="N32" s="138"/>
      <c r="O32" s="139"/>
      <c r="P32" s="137">
        <f>(COUNTIF(P19:P31, "X"))/((COUNTA($C$19:$C$31))-(COUNTA(R19:R31)))</f>
        <v>0</v>
      </c>
      <c r="Q32" s="138"/>
      <c r="R32" s="139"/>
      <c r="S32" s="137">
        <f>(COUNTIF(S19:S31, "X"))/((COUNTA($C$19:$C$31))-(COUNTA(U19:U31)))</f>
        <v>0</v>
      </c>
      <c r="T32" s="138"/>
      <c r="U32" s="139"/>
    </row>
    <row r="33" spans="2:21" ht="14.4" customHeight="1">
      <c r="B33" s="94" t="s">
        <v>188</v>
      </c>
      <c r="C33" s="94" t="s">
        <v>132</v>
      </c>
      <c r="D33" s="80"/>
      <c r="E33" s="28"/>
      <c r="F33" s="27"/>
      <c r="G33" s="80"/>
      <c r="H33" s="28"/>
      <c r="I33" s="27"/>
      <c r="J33" s="25"/>
      <c r="K33" s="28"/>
      <c r="L33" s="27"/>
      <c r="M33" s="25"/>
      <c r="N33" s="28"/>
      <c r="O33" s="27"/>
      <c r="P33" s="25"/>
      <c r="Q33" s="28"/>
      <c r="R33" s="27"/>
      <c r="S33" s="25"/>
      <c r="T33" s="28"/>
      <c r="U33" s="27"/>
    </row>
    <row r="34" spans="2:21" ht="15.6">
      <c r="B34" s="11">
        <v>1</v>
      </c>
      <c r="C34" s="72" t="s">
        <v>127</v>
      </c>
      <c r="D34" s="11"/>
      <c r="E34" s="2"/>
      <c r="F34" s="12"/>
      <c r="G34" s="11"/>
      <c r="H34" s="2"/>
      <c r="I34" s="12"/>
      <c r="J34" s="11"/>
      <c r="K34" s="2"/>
      <c r="L34" s="12"/>
      <c r="M34" s="11"/>
      <c r="N34" s="2"/>
      <c r="O34" s="12"/>
      <c r="P34" s="11"/>
      <c r="Q34" s="2"/>
      <c r="R34" s="12"/>
      <c r="S34" s="11"/>
      <c r="T34" s="2"/>
      <c r="U34" s="12"/>
    </row>
    <row r="35" spans="2:21" ht="15.6">
      <c r="B35" s="11">
        <v>2</v>
      </c>
      <c r="C35" s="72" t="s">
        <v>182</v>
      </c>
      <c r="D35" s="11"/>
      <c r="E35" s="2"/>
      <c r="F35" s="12"/>
      <c r="G35" s="11"/>
      <c r="H35" s="2"/>
      <c r="I35" s="12"/>
      <c r="J35" s="11"/>
      <c r="K35" s="2"/>
      <c r="L35" s="12"/>
      <c r="M35" s="11"/>
      <c r="N35" s="2"/>
      <c r="O35" s="12"/>
      <c r="P35" s="11"/>
      <c r="Q35" s="2"/>
      <c r="R35" s="12"/>
      <c r="S35" s="11"/>
      <c r="T35" s="2"/>
      <c r="U35" s="12"/>
    </row>
    <row r="36" spans="2:21" ht="15.6">
      <c r="B36" s="11">
        <v>3</v>
      </c>
      <c r="C36" s="72" t="s">
        <v>133</v>
      </c>
      <c r="D36" s="93"/>
      <c r="E36" s="2"/>
      <c r="F36" s="12"/>
      <c r="G36" s="93"/>
      <c r="H36" s="2"/>
      <c r="I36" s="12"/>
      <c r="J36" s="11"/>
      <c r="K36" s="2"/>
      <c r="L36" s="12"/>
      <c r="M36" s="11"/>
      <c r="N36" s="2"/>
      <c r="O36" s="12"/>
      <c r="P36" s="11"/>
      <c r="Q36" s="2"/>
      <c r="R36" s="12"/>
      <c r="S36" s="11"/>
      <c r="T36" s="2"/>
      <c r="U36" s="12"/>
    </row>
    <row r="37" spans="2:21" ht="15.6">
      <c r="B37" s="11">
        <v>4</v>
      </c>
      <c r="C37" s="74" t="s">
        <v>126</v>
      </c>
      <c r="D37" s="11"/>
      <c r="E37" s="2"/>
      <c r="F37" s="12"/>
      <c r="G37" s="11"/>
      <c r="H37" s="2"/>
      <c r="I37" s="12"/>
      <c r="J37" s="11"/>
      <c r="K37" s="2"/>
      <c r="L37" s="12"/>
      <c r="M37" s="11"/>
      <c r="N37" s="2"/>
      <c r="O37" s="12"/>
      <c r="P37" s="11"/>
      <c r="Q37" s="2"/>
      <c r="R37" s="12"/>
      <c r="S37" s="11"/>
      <c r="T37" s="2"/>
      <c r="U37" s="12"/>
    </row>
    <row r="38" spans="2:21" ht="15.6">
      <c r="B38" s="11">
        <v>5</v>
      </c>
      <c r="C38" s="74" t="s">
        <v>219</v>
      </c>
      <c r="D38" s="11"/>
      <c r="E38" s="2"/>
      <c r="F38" s="12"/>
      <c r="G38" s="11"/>
      <c r="H38" s="2"/>
      <c r="I38" s="12"/>
      <c r="J38" s="11"/>
      <c r="K38" s="2"/>
      <c r="L38" s="12"/>
      <c r="M38" s="11"/>
      <c r="N38" s="2"/>
      <c r="O38" s="12"/>
      <c r="P38" s="11"/>
      <c r="Q38" s="2"/>
      <c r="R38" s="12"/>
      <c r="S38" s="11"/>
      <c r="T38" s="2"/>
      <c r="U38" s="12"/>
    </row>
    <row r="39" spans="2:21" ht="15.6">
      <c r="B39" s="11">
        <v>6</v>
      </c>
      <c r="C39" s="74" t="s">
        <v>173</v>
      </c>
      <c r="D39" s="11"/>
      <c r="E39" s="23"/>
      <c r="F39" s="24"/>
      <c r="G39" s="22"/>
      <c r="H39" s="23"/>
      <c r="I39" s="24"/>
      <c r="J39" s="22"/>
      <c r="K39" s="23"/>
      <c r="L39" s="24"/>
      <c r="M39" s="22"/>
      <c r="N39" s="23"/>
      <c r="O39" s="24"/>
      <c r="P39" s="22"/>
      <c r="Q39" s="23"/>
      <c r="R39" s="24"/>
      <c r="S39" s="22"/>
      <c r="T39" s="23"/>
      <c r="U39" s="24"/>
    </row>
    <row r="40" spans="2:21" ht="15.6">
      <c r="B40" s="11">
        <v>7</v>
      </c>
      <c r="C40" s="74" t="s">
        <v>185</v>
      </c>
      <c r="D40" s="11"/>
      <c r="E40" s="23"/>
      <c r="F40" s="24"/>
      <c r="G40" s="22"/>
      <c r="H40" s="23"/>
      <c r="I40" s="24"/>
      <c r="J40" s="22"/>
      <c r="K40" s="23"/>
      <c r="L40" s="24"/>
      <c r="M40" s="22"/>
      <c r="N40" s="23"/>
      <c r="O40" s="24"/>
      <c r="P40" s="22"/>
      <c r="Q40" s="23"/>
      <c r="R40" s="24"/>
      <c r="S40" s="22"/>
      <c r="T40" s="23"/>
      <c r="U40" s="24"/>
    </row>
    <row r="41" spans="2:21" ht="15.6">
      <c r="B41" s="11">
        <v>8</v>
      </c>
      <c r="C41" s="74" t="s">
        <v>186</v>
      </c>
      <c r="D41" s="11"/>
      <c r="E41" s="23"/>
      <c r="F41" s="24"/>
      <c r="G41" s="22"/>
      <c r="H41" s="23"/>
      <c r="I41" s="24"/>
      <c r="J41" s="22"/>
      <c r="K41" s="23"/>
      <c r="L41" s="24"/>
      <c r="M41" s="22"/>
      <c r="N41" s="23"/>
      <c r="O41" s="24"/>
      <c r="P41" s="22"/>
      <c r="Q41" s="23"/>
      <c r="R41" s="24"/>
      <c r="S41" s="22"/>
      <c r="T41" s="23"/>
      <c r="U41" s="24"/>
    </row>
    <row r="42" spans="2:21" ht="15.6">
      <c r="B42" s="11">
        <v>9</v>
      </c>
      <c r="C42" s="74" t="s">
        <v>128</v>
      </c>
      <c r="D42" s="11"/>
      <c r="E42" s="23"/>
      <c r="F42" s="24"/>
      <c r="G42" s="22"/>
      <c r="H42" s="23"/>
      <c r="I42" s="24"/>
      <c r="J42" s="22"/>
      <c r="K42" s="23"/>
      <c r="L42" s="24"/>
      <c r="M42" s="22"/>
      <c r="N42" s="23"/>
      <c r="O42" s="24"/>
      <c r="P42" s="22"/>
      <c r="Q42" s="23"/>
      <c r="R42" s="24"/>
      <c r="S42" s="22"/>
      <c r="T42" s="23"/>
      <c r="U42" s="24"/>
    </row>
    <row r="43" spans="2:21" ht="15.6">
      <c r="B43" s="11">
        <v>10</v>
      </c>
      <c r="C43" s="74" t="s">
        <v>163</v>
      </c>
      <c r="D43" s="11"/>
      <c r="E43" s="23"/>
      <c r="F43" s="24"/>
      <c r="G43" s="22"/>
      <c r="H43" s="23"/>
      <c r="I43" s="24"/>
      <c r="J43" s="22"/>
      <c r="K43" s="23"/>
      <c r="L43" s="24"/>
      <c r="M43" s="22"/>
      <c r="N43" s="23"/>
      <c r="O43" s="24"/>
      <c r="P43" s="22"/>
      <c r="Q43" s="23"/>
      <c r="R43" s="24"/>
      <c r="S43" s="22"/>
      <c r="T43" s="23"/>
      <c r="U43" s="24"/>
    </row>
    <row r="44" spans="2:21" ht="15.6">
      <c r="B44" s="11">
        <v>11</v>
      </c>
      <c r="C44" s="71" t="s">
        <v>164</v>
      </c>
      <c r="D44" s="93"/>
      <c r="E44" s="23"/>
      <c r="F44" s="24"/>
      <c r="G44" s="104"/>
      <c r="H44" s="23"/>
      <c r="I44" s="24"/>
      <c r="J44" s="22"/>
      <c r="K44" s="23"/>
      <c r="L44" s="24"/>
      <c r="M44" s="22"/>
      <c r="N44" s="23"/>
      <c r="O44" s="24"/>
      <c r="P44" s="22"/>
      <c r="Q44" s="23"/>
      <c r="R44" s="24"/>
      <c r="S44" s="22"/>
      <c r="T44" s="23"/>
      <c r="U44" s="24"/>
    </row>
    <row r="45" spans="2:21" ht="15.6">
      <c r="B45" s="11">
        <v>12</v>
      </c>
      <c r="C45" s="74" t="s">
        <v>165</v>
      </c>
      <c r="D45" s="11"/>
      <c r="E45" s="23"/>
      <c r="F45" s="24"/>
      <c r="G45" s="22"/>
      <c r="H45" s="23"/>
      <c r="I45" s="24"/>
      <c r="J45" s="22"/>
      <c r="K45" s="23"/>
      <c r="L45" s="24"/>
      <c r="M45" s="22"/>
      <c r="N45" s="23"/>
      <c r="O45" s="24"/>
      <c r="P45" s="22"/>
      <c r="Q45" s="23"/>
      <c r="R45" s="24"/>
      <c r="S45" s="22"/>
      <c r="T45" s="23"/>
      <c r="U45" s="24"/>
    </row>
    <row r="46" spans="2:21" ht="15.6">
      <c r="B46" s="11">
        <v>13</v>
      </c>
      <c r="C46" s="74" t="s">
        <v>135</v>
      </c>
      <c r="D46" s="11"/>
      <c r="E46" s="23"/>
      <c r="F46" s="24"/>
      <c r="G46" s="22"/>
      <c r="H46" s="23"/>
      <c r="I46" s="24"/>
      <c r="J46" s="22"/>
      <c r="K46" s="23"/>
      <c r="L46" s="24"/>
      <c r="M46" s="22"/>
      <c r="N46" s="23"/>
      <c r="O46" s="24"/>
      <c r="P46" s="22"/>
      <c r="Q46" s="23"/>
      <c r="R46" s="24"/>
      <c r="S46" s="22"/>
      <c r="T46" s="23"/>
      <c r="U46" s="24"/>
    </row>
    <row r="47" spans="2:21" ht="15.6">
      <c r="B47" s="11">
        <v>14</v>
      </c>
      <c r="C47" s="74" t="s">
        <v>136</v>
      </c>
      <c r="D47" s="11"/>
      <c r="E47" s="23"/>
      <c r="F47" s="24"/>
      <c r="G47" s="22"/>
      <c r="H47" s="23"/>
      <c r="I47" s="24"/>
      <c r="J47" s="22"/>
      <c r="K47" s="23"/>
      <c r="L47" s="24"/>
      <c r="M47" s="22"/>
      <c r="N47" s="23"/>
      <c r="O47" s="24"/>
      <c r="P47" s="22"/>
      <c r="Q47" s="23"/>
      <c r="R47" s="24"/>
      <c r="S47" s="22"/>
      <c r="T47" s="23"/>
      <c r="U47" s="24"/>
    </row>
    <row r="48" spans="2:21" ht="16.2" thickBot="1">
      <c r="B48" s="11">
        <v>15</v>
      </c>
      <c r="C48" s="71" t="s">
        <v>134</v>
      </c>
      <c r="D48" s="11"/>
      <c r="E48" s="23"/>
      <c r="F48" s="24"/>
      <c r="G48" s="22"/>
      <c r="H48" s="23"/>
      <c r="I48" s="24"/>
      <c r="J48" s="22"/>
      <c r="K48" s="23"/>
      <c r="L48" s="24"/>
      <c r="M48" s="22"/>
      <c r="N48" s="23"/>
      <c r="O48" s="24"/>
      <c r="P48" s="22"/>
      <c r="Q48" s="23"/>
      <c r="R48" s="24"/>
      <c r="S48" s="22"/>
      <c r="T48" s="23"/>
      <c r="U48" s="24"/>
    </row>
    <row r="49" spans="2:21" ht="15" thickBot="1">
      <c r="B49" s="142" t="s">
        <v>14</v>
      </c>
      <c r="C49" s="143"/>
      <c r="D49" s="137">
        <f>(COUNTIF(D34:D48, "X"))/((COUNTA($C$34:$C$48))-(COUNTA(F34:F48)))</f>
        <v>0</v>
      </c>
      <c r="E49" s="138"/>
      <c r="F49" s="139"/>
      <c r="G49" s="137">
        <f>(COUNTIF(G34:G48, "X"))/((COUNTA($C$34:$C$48))-(COUNTA(I34:I48)))</f>
        <v>0</v>
      </c>
      <c r="H49" s="138"/>
      <c r="I49" s="139"/>
      <c r="J49" s="137">
        <f>(COUNTIF(J34:J48, "X"))/((COUNTA($C$34:$C$48))-(COUNTA(L34:L48)))</f>
        <v>0</v>
      </c>
      <c r="K49" s="138"/>
      <c r="L49" s="139"/>
      <c r="M49" s="137">
        <f>(COUNTIF(M34:M48, "X"))/((COUNTA($C$34:$C$48))-(COUNTA(O34:O48)))</f>
        <v>0</v>
      </c>
      <c r="N49" s="138"/>
      <c r="O49" s="139"/>
      <c r="P49" s="137">
        <f>(COUNTIF(P34:P48, "X"))/((COUNTA($C$34:$C$48))-(COUNTA(R34:R48)))</f>
        <v>0</v>
      </c>
      <c r="Q49" s="138"/>
      <c r="R49" s="139"/>
      <c r="S49" s="137">
        <f>(COUNTIF(S34:S48, "X"))/((COUNTA($C$34:$C$48))-(COUNTA(U34:U48)))</f>
        <v>0</v>
      </c>
      <c r="T49" s="138"/>
      <c r="U49" s="139"/>
    </row>
    <row r="50" spans="2:21">
      <c r="B50" s="147" t="s">
        <v>141</v>
      </c>
      <c r="C50" s="148"/>
      <c r="D50" s="80"/>
      <c r="E50" s="28"/>
      <c r="F50" s="27"/>
      <c r="G50" s="80"/>
      <c r="H50" s="81"/>
      <c r="I50" s="27"/>
      <c r="J50" s="25"/>
      <c r="K50" s="28"/>
      <c r="L50" s="27"/>
      <c r="M50" s="25"/>
      <c r="N50" s="28"/>
      <c r="O50" s="27"/>
      <c r="P50" s="25"/>
      <c r="Q50" s="28"/>
      <c r="R50" s="27"/>
      <c r="S50" s="25"/>
      <c r="T50" s="28"/>
      <c r="U50" s="27"/>
    </row>
    <row r="51" spans="2:21" ht="15.6">
      <c r="B51" s="11">
        <v>1</v>
      </c>
      <c r="C51" s="72" t="s">
        <v>137</v>
      </c>
      <c r="D51" s="11"/>
      <c r="E51" s="2"/>
      <c r="F51" s="12"/>
      <c r="G51" s="11"/>
      <c r="H51" s="2"/>
      <c r="I51" s="12"/>
      <c r="J51" s="11"/>
      <c r="K51" s="2"/>
      <c r="L51" s="12"/>
      <c r="M51" s="11"/>
      <c r="N51" s="2"/>
      <c r="O51" s="12"/>
      <c r="P51" s="11"/>
      <c r="Q51" s="2"/>
      <c r="R51" s="12"/>
      <c r="S51" s="11"/>
      <c r="T51" s="2"/>
      <c r="U51" s="12"/>
    </row>
    <row r="52" spans="2:21" ht="15.6">
      <c r="B52" s="11">
        <v>2</v>
      </c>
      <c r="C52" s="72" t="s">
        <v>139</v>
      </c>
      <c r="D52" s="11"/>
      <c r="E52" s="2"/>
      <c r="F52" s="12"/>
      <c r="G52" s="11"/>
      <c r="H52" s="2"/>
      <c r="I52" s="12"/>
      <c r="J52" s="11"/>
      <c r="K52" s="2"/>
      <c r="L52" s="12"/>
      <c r="M52" s="11"/>
      <c r="N52" s="2"/>
      <c r="O52" s="12"/>
      <c r="P52" s="11"/>
      <c r="Q52" s="2"/>
      <c r="R52" s="12"/>
      <c r="S52" s="11"/>
      <c r="T52" s="2"/>
      <c r="U52" s="12"/>
    </row>
    <row r="53" spans="2:21" ht="15.6">
      <c r="B53" s="11">
        <v>3</v>
      </c>
      <c r="C53" s="72" t="s">
        <v>166</v>
      </c>
      <c r="D53" s="11"/>
      <c r="E53" s="2"/>
      <c r="F53" s="12"/>
      <c r="G53" s="11"/>
      <c r="H53" s="2"/>
      <c r="I53" s="12"/>
      <c r="J53" s="11"/>
      <c r="K53" s="2"/>
      <c r="L53" s="12"/>
      <c r="M53" s="11"/>
      <c r="N53" s="2"/>
      <c r="O53" s="12"/>
      <c r="P53" s="11"/>
      <c r="Q53" s="2"/>
      <c r="R53" s="12"/>
      <c r="S53" s="11"/>
      <c r="T53" s="2"/>
      <c r="U53" s="12"/>
    </row>
    <row r="54" spans="2:21" ht="15.6">
      <c r="B54" s="11">
        <v>4</v>
      </c>
      <c r="C54" s="74" t="s">
        <v>167</v>
      </c>
      <c r="D54" s="11"/>
      <c r="E54" s="2"/>
      <c r="F54" s="12"/>
      <c r="G54" s="11"/>
      <c r="H54" s="2"/>
      <c r="I54" s="12"/>
      <c r="J54" s="11"/>
      <c r="K54" s="2"/>
      <c r="L54" s="12"/>
      <c r="M54" s="11"/>
      <c r="N54" s="2"/>
      <c r="O54" s="12"/>
      <c r="P54" s="11"/>
      <c r="Q54" s="2"/>
      <c r="R54" s="12"/>
      <c r="S54" s="11"/>
      <c r="T54" s="2"/>
      <c r="U54" s="12"/>
    </row>
    <row r="55" spans="2:21" ht="15.6">
      <c r="B55" s="11">
        <v>5</v>
      </c>
      <c r="C55" s="74" t="s">
        <v>168</v>
      </c>
      <c r="D55" s="11"/>
      <c r="E55" s="2"/>
      <c r="F55" s="12"/>
      <c r="G55" s="11"/>
      <c r="H55" s="2"/>
      <c r="I55" s="12"/>
      <c r="J55" s="11"/>
      <c r="K55" s="2"/>
      <c r="L55" s="12"/>
      <c r="M55" s="11"/>
      <c r="N55" s="2"/>
      <c r="O55" s="12"/>
      <c r="P55" s="11"/>
      <c r="Q55" s="2"/>
      <c r="R55" s="12"/>
      <c r="S55" s="11"/>
      <c r="T55" s="2"/>
      <c r="U55" s="12"/>
    </row>
    <row r="56" spans="2:21" ht="15.6">
      <c r="B56" s="11">
        <v>6</v>
      </c>
      <c r="C56" s="74" t="s">
        <v>169</v>
      </c>
      <c r="D56" s="11"/>
      <c r="E56" s="2"/>
      <c r="F56" s="12"/>
      <c r="G56" s="11"/>
      <c r="H56" s="2"/>
      <c r="I56" s="12"/>
      <c r="J56" s="11"/>
      <c r="K56" s="2"/>
      <c r="L56" s="12"/>
      <c r="M56" s="11"/>
      <c r="N56" s="2"/>
      <c r="O56" s="12"/>
      <c r="P56" s="11"/>
      <c r="Q56" s="2"/>
      <c r="R56" s="12"/>
      <c r="S56" s="11"/>
      <c r="T56" s="2"/>
      <c r="U56" s="12"/>
    </row>
    <row r="57" spans="2:21" ht="15.6">
      <c r="B57" s="11">
        <v>7</v>
      </c>
      <c r="C57" s="74" t="s">
        <v>170</v>
      </c>
      <c r="D57" s="11"/>
      <c r="E57" s="2"/>
      <c r="F57" s="12"/>
      <c r="G57" s="11"/>
      <c r="H57" s="2"/>
      <c r="I57" s="12"/>
      <c r="J57" s="11"/>
      <c r="K57" s="2"/>
      <c r="L57" s="12"/>
      <c r="M57" s="11"/>
      <c r="N57" s="2" t="s">
        <v>47</v>
      </c>
      <c r="O57" s="12"/>
      <c r="P57" s="11"/>
      <c r="Q57" s="2"/>
      <c r="R57" s="12"/>
      <c r="S57" s="11"/>
      <c r="T57" s="2"/>
      <c r="U57" s="12"/>
    </row>
    <row r="58" spans="2:21" ht="15.6">
      <c r="B58" s="11">
        <v>8</v>
      </c>
      <c r="C58" s="74" t="s">
        <v>171</v>
      </c>
      <c r="D58" s="11"/>
      <c r="E58" s="2"/>
      <c r="F58" s="12"/>
      <c r="G58" s="11"/>
      <c r="H58" s="2"/>
      <c r="I58" s="12"/>
      <c r="J58" s="11"/>
      <c r="K58" s="2"/>
      <c r="L58" s="12"/>
      <c r="M58" s="11"/>
      <c r="N58" s="2"/>
      <c r="O58" s="12"/>
      <c r="P58" s="11"/>
      <c r="Q58" s="2"/>
      <c r="R58" s="12"/>
      <c r="S58" s="11"/>
      <c r="T58" s="2"/>
      <c r="U58" s="12"/>
    </row>
    <row r="59" spans="2:21" ht="15.6">
      <c r="B59" s="11">
        <v>9</v>
      </c>
      <c r="C59" s="74" t="s">
        <v>138</v>
      </c>
      <c r="D59" s="11"/>
      <c r="E59" s="2"/>
      <c r="F59" s="12"/>
      <c r="G59" s="11"/>
      <c r="H59" s="2"/>
      <c r="I59" s="12"/>
      <c r="J59" s="11"/>
      <c r="K59" s="2"/>
      <c r="L59" s="12"/>
      <c r="M59" s="11"/>
      <c r="N59" s="2"/>
      <c r="O59" s="12"/>
      <c r="P59" s="11"/>
      <c r="Q59" s="2"/>
      <c r="R59" s="12"/>
      <c r="S59" s="11"/>
      <c r="T59" s="2"/>
      <c r="U59" s="12"/>
    </row>
    <row r="60" spans="2:21" ht="15.6">
      <c r="B60" s="11">
        <v>10</v>
      </c>
      <c r="C60" s="74" t="s">
        <v>140</v>
      </c>
      <c r="D60" s="11"/>
      <c r="E60" s="2"/>
      <c r="F60" s="12"/>
      <c r="G60" s="11"/>
      <c r="H60" s="2"/>
      <c r="I60" s="12"/>
      <c r="J60" s="11"/>
      <c r="K60" s="2"/>
      <c r="L60" s="12"/>
      <c r="M60" s="11"/>
      <c r="N60" s="2"/>
      <c r="O60" s="12"/>
      <c r="P60" s="11"/>
      <c r="Q60" s="2"/>
      <c r="R60" s="12"/>
      <c r="S60" s="11"/>
      <c r="T60" s="2"/>
      <c r="U60" s="12"/>
    </row>
    <row r="61" spans="2:21">
      <c r="B61" s="142" t="s">
        <v>14</v>
      </c>
      <c r="C61" s="143"/>
      <c r="D61" s="144">
        <f>(COUNTIF(D51:D60, "X"))/((COUNTA($C$51:$C$60))-(COUNTA(F51:F60)))</f>
        <v>0</v>
      </c>
      <c r="E61" s="145"/>
      <c r="F61" s="146"/>
      <c r="G61" s="144">
        <f>(COUNTIF(G51:G60, "X"))/((COUNTA($C$51:$C$60))-(COUNTA(I51:I60)))</f>
        <v>0</v>
      </c>
      <c r="H61" s="145"/>
      <c r="I61" s="146"/>
      <c r="J61" s="144">
        <f>(COUNTIF(J51:J60, "X"))/((COUNTA($C$51:$C$60))-(COUNTA(L51:L60)))</f>
        <v>0</v>
      </c>
      <c r="K61" s="145"/>
      <c r="L61" s="146"/>
      <c r="M61" s="144">
        <f>(COUNTIF(M51:M60, "X"))/((COUNTA($C$51:$C$60))-(COUNTA(O51:O60)))</f>
        <v>0</v>
      </c>
      <c r="N61" s="145"/>
      <c r="O61" s="146"/>
      <c r="P61" s="144">
        <f>(COUNTIF(P51:P60, "X"))/((COUNTA($C$51:$C$60))-(COUNTA(R51:R60)))</f>
        <v>0</v>
      </c>
      <c r="Q61" s="145"/>
      <c r="R61" s="146"/>
      <c r="S61" s="144">
        <f>(COUNTIF(S51:S60, "X"))/((COUNTA($C$51:$C$60))-(COUNTA(U51:U60)))</f>
        <v>0</v>
      </c>
      <c r="T61" s="145"/>
      <c r="U61" s="146"/>
    </row>
    <row r="62" spans="2:21" ht="14.4" customHeight="1">
      <c r="B62" s="94" t="s">
        <v>188</v>
      </c>
      <c r="C62" s="94" t="s">
        <v>143</v>
      </c>
      <c r="D62" s="78"/>
      <c r="E62" s="5"/>
      <c r="F62" s="17"/>
      <c r="G62" s="16"/>
      <c r="H62" s="5"/>
      <c r="I62" s="17"/>
      <c r="J62" s="16"/>
      <c r="K62" s="5"/>
      <c r="L62" s="17"/>
      <c r="M62" s="16"/>
      <c r="N62" s="5"/>
      <c r="O62" s="17"/>
      <c r="P62" s="16"/>
      <c r="Q62" s="5"/>
      <c r="R62" s="17"/>
      <c r="S62" s="16"/>
      <c r="T62" s="5"/>
      <c r="U62" s="17"/>
    </row>
    <row r="63" spans="2:21" ht="15.6">
      <c r="B63" s="11">
        <v>1</v>
      </c>
      <c r="C63" s="72" t="s">
        <v>152</v>
      </c>
      <c r="D63" s="11"/>
      <c r="E63" s="2"/>
      <c r="F63" s="12"/>
      <c r="G63" s="11"/>
      <c r="H63" s="2"/>
      <c r="I63" s="12"/>
      <c r="J63" s="11"/>
      <c r="K63" s="2"/>
      <c r="L63" s="12"/>
      <c r="M63" s="11"/>
      <c r="N63" s="2"/>
      <c r="O63" s="12"/>
      <c r="P63" s="11"/>
      <c r="Q63" s="2"/>
      <c r="R63" s="12"/>
      <c r="S63" s="11"/>
      <c r="T63" s="2"/>
      <c r="U63" s="12"/>
    </row>
    <row r="64" spans="2:21" ht="15.6">
      <c r="B64" s="11">
        <v>2</v>
      </c>
      <c r="C64" s="72" t="s">
        <v>172</v>
      </c>
      <c r="D64" s="11"/>
      <c r="E64" s="2"/>
      <c r="F64" s="12"/>
      <c r="G64" s="11"/>
      <c r="H64" s="2"/>
      <c r="I64" s="12"/>
      <c r="J64" s="11"/>
      <c r="K64" s="2"/>
      <c r="L64" s="12"/>
      <c r="M64" s="11"/>
      <c r="N64" s="2"/>
      <c r="O64" s="12"/>
      <c r="P64" s="11"/>
      <c r="Q64" s="2"/>
      <c r="R64" s="12"/>
      <c r="S64" s="11"/>
      <c r="T64" s="2"/>
      <c r="U64" s="12"/>
    </row>
    <row r="65" spans="2:21" ht="15.6">
      <c r="B65" s="11">
        <v>3</v>
      </c>
      <c r="C65" s="72" t="s">
        <v>154</v>
      </c>
      <c r="D65" s="11"/>
      <c r="E65" s="2"/>
      <c r="F65" s="12"/>
      <c r="G65" s="11"/>
      <c r="H65" s="2"/>
      <c r="I65" s="12"/>
      <c r="J65" s="11"/>
      <c r="K65" s="2"/>
      <c r="L65" s="12"/>
      <c r="M65" s="11"/>
      <c r="N65" s="2"/>
      <c r="O65" s="12"/>
      <c r="P65" s="11"/>
      <c r="Q65" s="2"/>
      <c r="R65" s="12"/>
      <c r="S65" s="11"/>
      <c r="T65" s="2"/>
      <c r="U65" s="12"/>
    </row>
    <row r="66" spans="2:21" ht="15.6">
      <c r="B66" s="11">
        <v>4</v>
      </c>
      <c r="C66" s="72" t="s">
        <v>238</v>
      </c>
      <c r="D66" s="11"/>
      <c r="E66" s="23"/>
      <c r="F66" s="24"/>
      <c r="G66" s="22"/>
      <c r="H66" s="23"/>
      <c r="I66" s="24"/>
      <c r="J66" s="22"/>
      <c r="K66" s="23"/>
      <c r="L66" s="24"/>
      <c r="M66" s="22"/>
      <c r="N66" s="23"/>
      <c r="O66" s="24"/>
      <c r="P66" s="22"/>
      <c r="Q66" s="23"/>
      <c r="R66" s="24"/>
      <c r="S66" s="22"/>
      <c r="T66" s="23"/>
      <c r="U66" s="24"/>
    </row>
    <row r="67" spans="2:21" ht="15.6">
      <c r="B67" s="11">
        <v>5</v>
      </c>
      <c r="C67" s="72" t="s">
        <v>163</v>
      </c>
      <c r="D67" s="11"/>
      <c r="E67" s="23"/>
      <c r="F67" s="24"/>
      <c r="G67" s="22"/>
      <c r="H67" s="23"/>
      <c r="I67" s="24"/>
      <c r="J67" s="22"/>
      <c r="K67" s="23"/>
      <c r="L67" s="24"/>
      <c r="M67" s="22"/>
      <c r="N67" s="23"/>
      <c r="O67" s="24"/>
      <c r="P67" s="22"/>
      <c r="Q67" s="23"/>
      <c r="R67" s="24"/>
      <c r="S67" s="22"/>
      <c r="T67" s="23"/>
      <c r="U67" s="24"/>
    </row>
    <row r="68" spans="2:21" ht="15.6">
      <c r="B68" s="11">
        <v>6</v>
      </c>
      <c r="C68" s="72" t="s">
        <v>173</v>
      </c>
      <c r="D68" s="11"/>
      <c r="E68" s="23"/>
      <c r="F68" s="24"/>
      <c r="G68" s="22"/>
      <c r="H68" s="23"/>
      <c r="I68" s="24"/>
      <c r="J68" s="22"/>
      <c r="K68" s="23"/>
      <c r="L68" s="24"/>
      <c r="M68" s="22"/>
      <c r="N68" s="23"/>
      <c r="O68" s="24"/>
      <c r="P68" s="22"/>
      <c r="Q68" s="23"/>
      <c r="R68" s="24"/>
      <c r="S68" s="22"/>
      <c r="T68" s="23"/>
      <c r="U68" s="24"/>
    </row>
    <row r="69" spans="2:21" ht="15.6">
      <c r="B69" s="11">
        <v>7</v>
      </c>
      <c r="C69" s="72" t="s">
        <v>174</v>
      </c>
      <c r="D69" s="11"/>
      <c r="E69" s="92"/>
      <c r="F69" s="24"/>
      <c r="G69" s="22"/>
      <c r="H69" s="23"/>
      <c r="I69" s="24"/>
      <c r="J69" s="22"/>
      <c r="K69" s="23"/>
      <c r="L69" s="24"/>
      <c r="M69" s="22"/>
      <c r="N69" s="23"/>
      <c r="O69" s="24"/>
      <c r="P69" s="22"/>
      <c r="Q69" s="23"/>
      <c r="R69" s="24"/>
      <c r="S69" s="22"/>
      <c r="T69" s="23"/>
      <c r="U69" s="24"/>
    </row>
    <row r="70" spans="2:21" ht="15.6">
      <c r="B70" s="11">
        <v>8</v>
      </c>
      <c r="C70" s="72" t="s">
        <v>175</v>
      </c>
      <c r="D70" s="11"/>
      <c r="E70" s="23"/>
      <c r="F70" s="24"/>
      <c r="G70" s="22"/>
      <c r="H70" s="23"/>
      <c r="I70" s="24"/>
      <c r="J70" s="22"/>
      <c r="K70" s="23"/>
      <c r="L70" s="24"/>
      <c r="M70" s="22"/>
      <c r="N70" s="23"/>
      <c r="O70" s="24"/>
      <c r="P70" s="22"/>
      <c r="Q70" s="23"/>
      <c r="R70" s="24"/>
      <c r="S70" s="22"/>
      <c r="T70" s="23"/>
      <c r="U70" s="24"/>
    </row>
    <row r="71" spans="2:21" ht="15.6">
      <c r="B71" s="11">
        <v>9</v>
      </c>
      <c r="C71" s="72" t="s">
        <v>153</v>
      </c>
      <c r="D71" s="11"/>
      <c r="E71" s="92"/>
      <c r="F71" s="24"/>
      <c r="G71" s="22"/>
      <c r="H71" s="23"/>
      <c r="I71" s="24"/>
      <c r="J71" s="22"/>
      <c r="K71" s="23"/>
      <c r="L71" s="24"/>
      <c r="M71" s="22"/>
      <c r="N71" s="23"/>
      <c r="O71" s="24"/>
      <c r="P71" s="22"/>
      <c r="Q71" s="23"/>
      <c r="R71" s="24"/>
      <c r="S71" s="22"/>
      <c r="T71" s="23"/>
      <c r="U71" s="24"/>
    </row>
    <row r="72" spans="2:21" ht="15.6">
      <c r="B72" s="11">
        <v>10</v>
      </c>
      <c r="C72" s="72" t="s">
        <v>176</v>
      </c>
      <c r="D72" s="11"/>
      <c r="E72" s="23"/>
      <c r="F72" s="24"/>
      <c r="G72" s="22"/>
      <c r="H72" s="23"/>
      <c r="I72" s="24"/>
      <c r="J72" s="22"/>
      <c r="K72" s="23"/>
      <c r="L72" s="24"/>
      <c r="M72" s="22"/>
      <c r="N72" s="23"/>
      <c r="O72" s="24"/>
      <c r="P72" s="22"/>
      <c r="Q72" s="23"/>
      <c r="R72" s="24"/>
      <c r="S72" s="22"/>
      <c r="T72" s="23"/>
      <c r="U72" s="24"/>
    </row>
    <row r="73" spans="2:21" ht="15.6">
      <c r="B73" s="11">
        <v>11</v>
      </c>
      <c r="C73" s="72" t="s">
        <v>155</v>
      </c>
      <c r="D73" s="11"/>
      <c r="E73" s="23"/>
      <c r="F73" s="24"/>
      <c r="G73" s="22"/>
      <c r="H73" s="23"/>
      <c r="I73" s="24"/>
      <c r="J73" s="22"/>
      <c r="K73" s="23"/>
      <c r="L73" s="24"/>
      <c r="M73" s="22"/>
      <c r="N73" s="23"/>
      <c r="O73" s="24"/>
      <c r="P73" s="22"/>
      <c r="Q73" s="23"/>
      <c r="R73" s="24"/>
      <c r="S73" s="22"/>
      <c r="T73" s="23"/>
      <c r="U73" s="24"/>
    </row>
    <row r="74" spans="2:21" ht="15.6">
      <c r="B74" s="11">
        <v>12</v>
      </c>
      <c r="C74" s="72" t="s">
        <v>177</v>
      </c>
      <c r="D74" s="11"/>
      <c r="E74" s="23"/>
      <c r="F74" s="24"/>
      <c r="G74" s="22"/>
      <c r="H74" s="23"/>
      <c r="I74" s="24"/>
      <c r="J74" s="22"/>
      <c r="K74" s="23"/>
      <c r="L74" s="24"/>
      <c r="M74" s="22"/>
      <c r="N74" s="23"/>
      <c r="O74" s="24"/>
      <c r="P74" s="22"/>
      <c r="Q74" s="23"/>
      <c r="R74" s="24"/>
      <c r="S74" s="22"/>
      <c r="T74" s="23"/>
      <c r="U74" s="24"/>
    </row>
    <row r="75" spans="2:21" ht="16.2" thickBot="1">
      <c r="B75" s="11">
        <v>13</v>
      </c>
      <c r="C75" s="72" t="s">
        <v>160</v>
      </c>
      <c r="D75" s="11"/>
      <c r="E75" s="23"/>
      <c r="F75" s="24"/>
      <c r="G75" s="22"/>
      <c r="H75" s="23"/>
      <c r="I75" s="24"/>
      <c r="J75" s="22"/>
      <c r="K75" s="23"/>
      <c r="L75" s="24"/>
      <c r="M75" s="22"/>
      <c r="N75" s="23"/>
      <c r="O75" s="24"/>
      <c r="P75" s="22"/>
      <c r="Q75" s="23"/>
      <c r="R75" s="24"/>
      <c r="S75" s="22"/>
      <c r="T75" s="23"/>
      <c r="U75" s="24"/>
    </row>
    <row r="76" spans="2:21">
      <c r="B76" s="142" t="s">
        <v>14</v>
      </c>
      <c r="C76" s="143"/>
      <c r="D76" s="149">
        <f>(COUNTIF(D63:D75, "X"))/((COUNTA($C$63:$C$75))-(COUNTA(F63:F75)))</f>
        <v>0</v>
      </c>
      <c r="E76" s="150"/>
      <c r="F76" s="151"/>
      <c r="G76" s="149">
        <f>(COUNTIF(G63:G75, "X"))/((COUNTA($C$63:$C$72))-(COUNTA(I63:I75)))</f>
        <v>0</v>
      </c>
      <c r="H76" s="150"/>
      <c r="I76" s="151"/>
      <c r="J76" s="149">
        <f>(COUNTIF(J63:J75, "X"))/((COUNTA($C$63:$C$72))-(COUNTA(L63:L75)))</f>
        <v>0</v>
      </c>
      <c r="K76" s="150"/>
      <c r="L76" s="151"/>
      <c r="M76" s="149">
        <f>(COUNTIF(M63:M75, "X"))/((COUNTA($C$63:$C$72))-(COUNTA(O63:O75)))</f>
        <v>0</v>
      </c>
      <c r="N76" s="150"/>
      <c r="O76" s="151"/>
      <c r="P76" s="149">
        <f>(COUNTIF(P63:P75, "X"))/((COUNTA($C$63:$C$72))-(COUNTA(R63:R75)))</f>
        <v>0</v>
      </c>
      <c r="Q76" s="150"/>
      <c r="R76" s="151"/>
      <c r="S76" s="149">
        <f>(COUNTIF(S63:S75, "X"))/((COUNTA($C$63:$C$72))-(COUNTA(U63:U75)))</f>
        <v>0</v>
      </c>
      <c r="T76" s="150"/>
      <c r="U76" s="151"/>
    </row>
    <row r="77" spans="2:21" ht="15" customHeight="1" thickBot="1">
      <c r="B77" s="94" t="s">
        <v>188</v>
      </c>
      <c r="C77" s="94" t="s">
        <v>144</v>
      </c>
      <c r="D77" s="98"/>
      <c r="E77" s="33"/>
      <c r="F77" s="34"/>
      <c r="G77" s="32"/>
      <c r="H77" s="33"/>
      <c r="I77" s="34"/>
      <c r="J77" s="32"/>
      <c r="K77" s="33"/>
      <c r="L77" s="34"/>
      <c r="M77" s="32"/>
      <c r="N77" s="33"/>
      <c r="O77" s="34"/>
      <c r="P77" s="32"/>
      <c r="Q77" s="33"/>
      <c r="R77" s="34"/>
      <c r="S77" s="32"/>
      <c r="T77" s="33"/>
      <c r="U77" s="34"/>
    </row>
    <row r="78" spans="2:21" ht="15.6">
      <c r="B78" s="11">
        <v>1</v>
      </c>
      <c r="C78" s="72" t="s">
        <v>156</v>
      </c>
      <c r="D78" s="29"/>
      <c r="E78" s="30"/>
      <c r="F78" s="31"/>
      <c r="G78" s="29"/>
      <c r="H78" s="30"/>
      <c r="I78" s="31"/>
      <c r="J78" s="29"/>
      <c r="K78" s="30"/>
      <c r="L78" s="31"/>
      <c r="M78" s="29"/>
      <c r="N78" s="30"/>
      <c r="O78" s="31"/>
      <c r="P78" s="29"/>
      <c r="Q78" s="30"/>
      <c r="R78" s="31"/>
      <c r="S78" s="29"/>
      <c r="T78" s="30"/>
      <c r="U78" s="31"/>
    </row>
    <row r="79" spans="2:21" ht="15.6">
      <c r="B79" s="11">
        <v>2</v>
      </c>
      <c r="C79" s="72" t="s">
        <v>157</v>
      </c>
      <c r="D79" s="29"/>
      <c r="E79" s="2"/>
      <c r="F79" s="12"/>
      <c r="G79" s="11"/>
      <c r="H79" s="2"/>
      <c r="I79" s="12"/>
      <c r="J79" s="11"/>
      <c r="K79" s="2"/>
      <c r="L79" s="12"/>
      <c r="M79" s="11"/>
      <c r="N79" s="2"/>
      <c r="O79" s="12"/>
      <c r="P79" s="11"/>
      <c r="Q79" s="2"/>
      <c r="R79" s="12"/>
      <c r="S79" s="11"/>
      <c r="T79" s="2"/>
      <c r="U79" s="12"/>
    </row>
    <row r="80" spans="2:21" ht="15.6">
      <c r="B80" s="11">
        <v>3</v>
      </c>
      <c r="C80" s="72" t="s">
        <v>173</v>
      </c>
      <c r="D80" s="29"/>
      <c r="E80" s="2"/>
      <c r="F80" s="12"/>
      <c r="G80" s="11"/>
      <c r="H80" s="2"/>
      <c r="I80" s="12"/>
      <c r="J80" s="11"/>
      <c r="K80" s="2"/>
      <c r="L80" s="12"/>
      <c r="M80" s="11"/>
      <c r="N80" s="2"/>
      <c r="O80" s="12"/>
      <c r="P80" s="11"/>
      <c r="Q80" s="2"/>
      <c r="R80" s="12"/>
      <c r="S80" s="11"/>
      <c r="T80" s="2"/>
      <c r="U80" s="12"/>
    </row>
    <row r="81" spans="2:21" ht="15.6">
      <c r="B81" s="11">
        <v>4</v>
      </c>
      <c r="C81" s="72" t="s">
        <v>178</v>
      </c>
      <c r="D81" s="29"/>
      <c r="E81" s="23"/>
      <c r="F81" s="24"/>
      <c r="G81" s="22"/>
      <c r="H81" s="23"/>
      <c r="I81" s="24"/>
      <c r="J81" s="22"/>
      <c r="K81" s="23"/>
      <c r="L81" s="24"/>
      <c r="M81" s="22"/>
      <c r="N81" s="23"/>
      <c r="O81" s="24"/>
      <c r="P81" s="22"/>
      <c r="Q81" s="23"/>
      <c r="R81" s="24"/>
      <c r="S81" s="22"/>
      <c r="T81" s="23"/>
      <c r="U81" s="24"/>
    </row>
    <row r="82" spans="2:21" ht="15.6">
      <c r="B82" s="11">
        <v>5</v>
      </c>
      <c r="C82" s="72" t="s">
        <v>179</v>
      </c>
      <c r="D82" s="29"/>
      <c r="E82" s="2"/>
      <c r="F82" s="12"/>
      <c r="G82" s="11"/>
      <c r="H82" s="2"/>
      <c r="I82" s="12"/>
      <c r="J82" s="11"/>
      <c r="K82" s="2"/>
      <c r="L82" s="12"/>
      <c r="M82" s="11"/>
      <c r="N82" s="2"/>
      <c r="O82" s="12"/>
      <c r="P82" s="11"/>
      <c r="Q82" s="2"/>
      <c r="R82" s="12"/>
      <c r="S82" s="11"/>
      <c r="T82" s="2"/>
      <c r="U82" s="12"/>
    </row>
    <row r="83" spans="2:21" ht="15.6">
      <c r="B83" s="11">
        <v>6</v>
      </c>
      <c r="C83" s="72" t="s">
        <v>158</v>
      </c>
      <c r="D83" s="29"/>
      <c r="E83" s="2"/>
      <c r="F83" s="12"/>
      <c r="G83" s="11"/>
      <c r="H83" s="2"/>
      <c r="I83" s="12"/>
      <c r="J83" s="11"/>
      <c r="K83" s="2"/>
      <c r="L83" s="12"/>
      <c r="M83" s="11"/>
      <c r="N83" s="2"/>
      <c r="O83" s="12"/>
      <c r="P83" s="11"/>
      <c r="Q83" s="2"/>
      <c r="R83" s="12"/>
      <c r="S83" s="11"/>
      <c r="T83" s="2"/>
      <c r="U83" s="12"/>
    </row>
    <row r="84" spans="2:21" ht="15.6">
      <c r="B84" s="11">
        <v>7</v>
      </c>
      <c r="C84" s="72" t="s">
        <v>222</v>
      </c>
      <c r="D84" s="29"/>
      <c r="E84" s="2"/>
      <c r="F84" s="12"/>
      <c r="G84" s="11"/>
      <c r="H84" s="2"/>
      <c r="I84" s="12"/>
      <c r="J84" s="11"/>
      <c r="K84" s="2"/>
      <c r="L84" s="12"/>
      <c r="M84" s="11"/>
      <c r="N84" s="2"/>
      <c r="O84" s="12"/>
      <c r="P84" s="11"/>
      <c r="Q84" s="2"/>
      <c r="R84" s="12"/>
      <c r="S84" s="11"/>
      <c r="T84" s="2"/>
      <c r="U84" s="12"/>
    </row>
    <row r="85" spans="2:21" ht="15.6">
      <c r="B85" s="11">
        <v>8</v>
      </c>
      <c r="C85" s="72" t="s">
        <v>181</v>
      </c>
      <c r="D85" s="29"/>
      <c r="E85" s="2"/>
      <c r="F85" s="12"/>
      <c r="G85" s="11"/>
      <c r="H85" s="2"/>
      <c r="I85" s="12"/>
      <c r="J85" s="11"/>
      <c r="K85" s="2"/>
      <c r="L85" s="12"/>
      <c r="M85" s="11"/>
      <c r="N85" s="2"/>
      <c r="O85" s="12"/>
      <c r="P85" s="11"/>
      <c r="Q85" s="2"/>
      <c r="R85" s="12"/>
      <c r="S85" s="11"/>
      <c r="T85" s="2"/>
      <c r="U85" s="12"/>
    </row>
    <row r="86" spans="2:21" ht="15.6">
      <c r="B86" s="11">
        <v>9</v>
      </c>
      <c r="C86" s="72" t="s">
        <v>213</v>
      </c>
      <c r="D86" s="29"/>
      <c r="E86" s="2"/>
      <c r="F86" s="12"/>
      <c r="G86" s="11"/>
      <c r="H86" s="2"/>
      <c r="I86" s="12"/>
      <c r="J86" s="11"/>
      <c r="K86" s="2"/>
      <c r="L86" s="12"/>
      <c r="M86" s="11"/>
      <c r="N86" s="2"/>
      <c r="O86" s="12"/>
      <c r="P86" s="11"/>
      <c r="Q86" s="2"/>
      <c r="R86" s="12"/>
      <c r="S86" s="11"/>
      <c r="T86" s="2"/>
      <c r="U86" s="12"/>
    </row>
    <row r="87" spans="2:21" ht="15.6">
      <c r="B87" s="11">
        <v>10</v>
      </c>
      <c r="C87" s="72" t="s">
        <v>214</v>
      </c>
      <c r="D87" s="29"/>
      <c r="E87" s="2"/>
      <c r="F87" s="12"/>
      <c r="G87" s="11"/>
      <c r="H87" s="2"/>
      <c r="I87" s="12"/>
      <c r="J87" s="11"/>
      <c r="K87" s="2"/>
      <c r="L87" s="12"/>
      <c r="M87" s="11"/>
      <c r="N87" s="2"/>
      <c r="O87" s="12"/>
      <c r="P87" s="11"/>
      <c r="Q87" s="2"/>
      <c r="R87" s="12"/>
      <c r="S87" s="11"/>
      <c r="T87" s="2"/>
      <c r="U87" s="12"/>
    </row>
    <row r="88" spans="2:21" ht="15.6">
      <c r="B88" s="11">
        <v>11</v>
      </c>
      <c r="C88" s="72" t="s">
        <v>162</v>
      </c>
      <c r="D88" s="29"/>
      <c r="E88" s="2"/>
      <c r="F88" s="12"/>
      <c r="G88" s="11"/>
      <c r="H88" s="2"/>
      <c r="I88" s="12"/>
      <c r="J88" s="11"/>
      <c r="K88" s="2"/>
      <c r="L88" s="12">
        <v>0</v>
      </c>
      <c r="M88" s="11"/>
      <c r="N88" s="2"/>
      <c r="O88" s="12"/>
      <c r="P88" s="11"/>
      <c r="Q88" s="2"/>
      <c r="R88" s="12"/>
      <c r="S88" s="11"/>
      <c r="T88" s="2"/>
      <c r="U88" s="12"/>
    </row>
    <row r="89" spans="2:21" ht="15.6">
      <c r="B89" s="11">
        <v>12</v>
      </c>
      <c r="C89" s="72" t="s">
        <v>215</v>
      </c>
      <c r="D89" s="29"/>
      <c r="E89" s="2"/>
      <c r="F89" s="12"/>
      <c r="G89" s="11"/>
      <c r="H89" s="2"/>
      <c r="I89" s="12"/>
      <c r="J89" s="11"/>
      <c r="K89" s="2"/>
      <c r="L89" s="12"/>
      <c r="M89" s="11"/>
      <c r="N89" s="2"/>
      <c r="O89" s="12"/>
      <c r="P89" s="11"/>
      <c r="Q89" s="2"/>
      <c r="R89" s="12"/>
      <c r="S89" s="11"/>
      <c r="T89" s="2"/>
      <c r="U89" s="12"/>
    </row>
    <row r="90" spans="2:21" ht="15.6">
      <c r="B90" s="11">
        <v>13</v>
      </c>
      <c r="C90" s="72" t="s">
        <v>218</v>
      </c>
      <c r="D90" s="29"/>
      <c r="E90" s="2"/>
      <c r="F90" s="12"/>
      <c r="G90" s="11"/>
      <c r="H90" s="2"/>
      <c r="I90" s="12"/>
      <c r="J90" s="11"/>
      <c r="K90" s="2"/>
      <c r="L90" s="12"/>
      <c r="M90" s="11"/>
      <c r="N90" s="2"/>
      <c r="O90" s="12"/>
      <c r="P90" s="11"/>
      <c r="Q90" s="2"/>
      <c r="R90" s="12"/>
      <c r="S90" s="11"/>
      <c r="T90" s="2"/>
      <c r="U90" s="12"/>
    </row>
    <row r="91" spans="2:21" ht="15.6">
      <c r="B91" s="11">
        <v>14</v>
      </c>
      <c r="C91" s="72" t="s">
        <v>216</v>
      </c>
      <c r="D91" s="29"/>
      <c r="E91" s="2"/>
      <c r="F91" s="12"/>
      <c r="G91" s="11"/>
      <c r="H91" s="2"/>
      <c r="I91" s="12"/>
      <c r="J91" s="11"/>
      <c r="K91" s="2"/>
      <c r="L91" s="12"/>
      <c r="M91" s="11"/>
      <c r="N91" s="2"/>
      <c r="O91" s="12"/>
      <c r="P91" s="11"/>
      <c r="Q91" s="2"/>
      <c r="R91" s="12"/>
      <c r="S91" s="11"/>
      <c r="T91" s="2"/>
      <c r="U91" s="12"/>
    </row>
    <row r="92" spans="2:21" ht="15.6">
      <c r="B92" s="11">
        <v>15</v>
      </c>
      <c r="C92" s="72" t="s">
        <v>217</v>
      </c>
      <c r="D92" s="29"/>
      <c r="E92" s="2"/>
      <c r="F92" s="12"/>
      <c r="G92" s="11"/>
      <c r="H92" s="2"/>
      <c r="I92" s="12"/>
      <c r="J92" s="11"/>
      <c r="K92" s="2"/>
      <c r="L92" s="12"/>
      <c r="M92" s="11"/>
      <c r="N92" s="2"/>
      <c r="O92" s="12"/>
      <c r="P92" s="11"/>
      <c r="Q92" s="2"/>
      <c r="R92" s="12"/>
      <c r="S92" s="11"/>
      <c r="T92" s="2"/>
      <c r="U92" s="12"/>
    </row>
    <row r="93" spans="2:21" ht="15.6">
      <c r="B93" s="11">
        <v>16</v>
      </c>
      <c r="C93" s="72" t="s">
        <v>204</v>
      </c>
      <c r="D93" s="29"/>
      <c r="E93" s="23"/>
      <c r="F93" s="24"/>
      <c r="G93" s="22"/>
      <c r="H93" s="23"/>
      <c r="I93" s="24"/>
      <c r="J93" s="22"/>
      <c r="K93" s="23"/>
      <c r="L93" s="24"/>
      <c r="M93" s="22"/>
      <c r="N93" s="23"/>
      <c r="O93" s="24"/>
      <c r="P93" s="22"/>
      <c r="Q93" s="23"/>
      <c r="R93" s="24"/>
      <c r="S93" s="22"/>
      <c r="T93" s="23"/>
      <c r="U93" s="24"/>
    </row>
    <row r="94" spans="2:21" ht="15.6">
      <c r="B94" s="11">
        <v>17</v>
      </c>
      <c r="C94" s="72" t="s">
        <v>221</v>
      </c>
      <c r="D94" s="29"/>
      <c r="E94" s="23"/>
      <c r="F94" s="24"/>
      <c r="G94" s="22"/>
      <c r="H94" s="23"/>
      <c r="I94" s="24"/>
      <c r="J94" s="22"/>
      <c r="K94" s="23"/>
      <c r="L94" s="24"/>
      <c r="M94" s="22"/>
      <c r="N94" s="23"/>
      <c r="O94" s="24"/>
      <c r="P94" s="22"/>
      <c r="Q94" s="23"/>
      <c r="R94" s="24"/>
      <c r="S94" s="22"/>
      <c r="T94" s="23"/>
      <c r="U94" s="24"/>
    </row>
    <row r="95" spans="2:21" ht="16.2" thickBot="1">
      <c r="B95" s="11">
        <v>18</v>
      </c>
      <c r="C95" s="72" t="s">
        <v>220</v>
      </c>
      <c r="D95" s="29"/>
      <c r="E95" s="23"/>
      <c r="F95" s="24"/>
      <c r="G95" s="22"/>
      <c r="H95" s="23"/>
      <c r="I95" s="24"/>
      <c r="J95" s="22"/>
      <c r="K95" s="23"/>
      <c r="L95" s="24"/>
      <c r="M95" s="22"/>
      <c r="N95" s="23"/>
      <c r="O95" s="24"/>
      <c r="P95" s="22"/>
      <c r="Q95" s="23"/>
      <c r="R95" s="24"/>
      <c r="S95" s="22"/>
      <c r="T95" s="23"/>
      <c r="U95" s="24"/>
    </row>
    <row r="96" spans="2:21" ht="15" thickBot="1">
      <c r="B96" s="142" t="s">
        <v>14</v>
      </c>
      <c r="C96" s="143"/>
      <c r="D96" s="137">
        <f>(COUNTIF(D78:D95, "X"))/((COUNTA($C$78:$C$95))-(COUNTA(F78:F95)))</f>
        <v>0</v>
      </c>
      <c r="E96" s="138"/>
      <c r="F96" s="139"/>
      <c r="G96" s="137">
        <f>(COUNTIF(G82:G95, "X"))/((COUNTA($C$82:$C$95))-(COUNTA(I82:I95)))</f>
        <v>0</v>
      </c>
      <c r="H96" s="138"/>
      <c r="I96" s="139"/>
      <c r="J96" s="137">
        <f>(COUNTIF(J82:J95, "X"))/((COUNTA($C$19:$C$31))-(COUNTA(L82:L95)))</f>
        <v>0</v>
      </c>
      <c r="K96" s="138"/>
      <c r="L96" s="139"/>
      <c r="M96" s="137">
        <f>(COUNTIF(M82:M95, "X"))/((COUNTA($C$19:$C$31))-(COUNTA(O82:O95)))</f>
        <v>0</v>
      </c>
      <c r="N96" s="138"/>
      <c r="O96" s="139"/>
      <c r="P96" s="137">
        <f>(COUNTIF(P82:P95, "X"))/((COUNTA($C$19:$C$31))-(COUNTA(R82:R95)))</f>
        <v>0</v>
      </c>
      <c r="Q96" s="138"/>
      <c r="R96" s="139"/>
      <c r="S96" s="137">
        <f>(COUNTIF(S82:S95, "X"))/((COUNTA($C$19:$C$31))-(COUNTA(U82:U95)))</f>
        <v>0</v>
      </c>
      <c r="T96" s="138"/>
      <c r="U96" s="139"/>
    </row>
    <row r="97" spans="2:21">
      <c r="B97" s="147"/>
      <c r="C97" s="148"/>
      <c r="D97" s="16"/>
      <c r="E97" s="5"/>
      <c r="F97" s="17"/>
      <c r="G97" s="16"/>
      <c r="H97" s="5"/>
      <c r="I97" s="17"/>
      <c r="J97" s="16"/>
      <c r="K97" s="5"/>
      <c r="L97" s="17"/>
      <c r="M97" s="16"/>
      <c r="N97" s="5"/>
      <c r="O97" s="17"/>
      <c r="P97" s="16"/>
      <c r="Q97" s="5"/>
      <c r="R97" s="17"/>
      <c r="S97" s="16"/>
      <c r="T97" s="5"/>
      <c r="U97" s="17"/>
    </row>
    <row r="98" spans="2:21" ht="15.6">
      <c r="B98" s="11">
        <v>1</v>
      </c>
      <c r="C98" s="72"/>
      <c r="D98" s="11"/>
      <c r="E98" s="2"/>
      <c r="F98" s="12"/>
      <c r="G98" s="11"/>
      <c r="H98" s="2"/>
      <c r="I98" s="12"/>
      <c r="J98" s="11"/>
      <c r="K98" s="2"/>
      <c r="L98" s="12"/>
      <c r="M98" s="11"/>
      <c r="N98" s="2"/>
      <c r="O98" s="12"/>
      <c r="P98" s="11"/>
      <c r="Q98" s="2"/>
      <c r="R98" s="12"/>
      <c r="S98" s="11"/>
      <c r="T98" s="2"/>
      <c r="U98" s="12"/>
    </row>
    <row r="99" spans="2:21" ht="15.6">
      <c r="B99" s="11">
        <v>2</v>
      </c>
      <c r="C99" s="72"/>
      <c r="D99" s="11"/>
      <c r="E99" s="2"/>
      <c r="F99" s="12"/>
      <c r="G99" s="11"/>
      <c r="H99" s="2"/>
      <c r="I99" s="12"/>
      <c r="J99" s="11"/>
      <c r="K99" s="2"/>
      <c r="L99" s="12"/>
      <c r="M99" s="11"/>
      <c r="N99" s="2"/>
      <c r="O99" s="12"/>
      <c r="P99" s="11"/>
      <c r="Q99" s="2"/>
      <c r="R99" s="12"/>
      <c r="S99" s="11"/>
      <c r="T99" s="2"/>
      <c r="U99" s="12"/>
    </row>
    <row r="100" spans="2:21" ht="15.6">
      <c r="B100" s="11">
        <v>3</v>
      </c>
      <c r="C100" s="72"/>
      <c r="D100" s="11"/>
      <c r="E100" s="2"/>
      <c r="F100" s="12"/>
      <c r="G100" s="11"/>
      <c r="H100" s="2"/>
      <c r="I100" s="12"/>
      <c r="J100" s="11"/>
      <c r="K100" s="2"/>
      <c r="L100" s="12"/>
      <c r="M100" s="11"/>
      <c r="N100" s="2"/>
      <c r="O100" s="12"/>
      <c r="P100" s="11"/>
      <c r="Q100" s="2"/>
      <c r="R100" s="12"/>
      <c r="S100" s="11"/>
      <c r="T100" s="2"/>
      <c r="U100" s="12"/>
    </row>
    <row r="101" spans="2:21" ht="15.6">
      <c r="B101" s="11">
        <v>4</v>
      </c>
      <c r="C101" s="74"/>
      <c r="D101" s="22"/>
      <c r="E101" s="23"/>
      <c r="F101" s="24"/>
      <c r="G101" s="22"/>
      <c r="H101" s="23"/>
      <c r="I101" s="24"/>
      <c r="J101" s="22"/>
      <c r="K101" s="23"/>
      <c r="L101" s="24"/>
      <c r="M101" s="22"/>
      <c r="N101" s="23"/>
      <c r="O101" s="24"/>
      <c r="P101" s="22"/>
      <c r="Q101" s="23"/>
      <c r="R101" s="24"/>
      <c r="S101" s="22"/>
      <c r="T101" s="23"/>
      <c r="U101" s="24"/>
    </row>
    <row r="102" spans="2:21" ht="15.6">
      <c r="B102" s="11">
        <v>5</v>
      </c>
      <c r="C102" s="74"/>
      <c r="D102" s="22"/>
      <c r="E102" s="23"/>
      <c r="F102" s="24"/>
      <c r="G102" s="22"/>
      <c r="H102" s="23"/>
      <c r="I102" s="24"/>
      <c r="J102" s="22"/>
      <c r="K102" s="23"/>
      <c r="L102" s="24"/>
      <c r="M102" s="22"/>
      <c r="N102" s="23"/>
      <c r="O102" s="24"/>
      <c r="P102" s="22"/>
      <c r="Q102" s="23"/>
      <c r="R102" s="24"/>
      <c r="S102" s="22"/>
      <c r="T102" s="23"/>
      <c r="U102" s="24"/>
    </row>
    <row r="103" spans="2:21" ht="15.6">
      <c r="B103" s="11">
        <v>6</v>
      </c>
      <c r="C103" s="74"/>
      <c r="D103" s="22"/>
      <c r="E103" s="23"/>
      <c r="F103" s="24"/>
      <c r="G103" s="22"/>
      <c r="H103" s="23"/>
      <c r="I103" s="24"/>
      <c r="J103" s="22"/>
      <c r="K103" s="23"/>
      <c r="L103" s="24"/>
      <c r="M103" s="22"/>
      <c r="N103" s="23"/>
      <c r="O103" s="24"/>
      <c r="P103" s="22"/>
      <c r="Q103" s="23"/>
      <c r="R103" s="24"/>
      <c r="S103" s="22"/>
      <c r="T103" s="23"/>
      <c r="U103" s="24"/>
    </row>
    <row r="104" spans="2:21" ht="15.6">
      <c r="B104" s="11">
        <v>7</v>
      </c>
      <c r="C104" s="74"/>
      <c r="D104" s="22"/>
      <c r="E104" s="23"/>
      <c r="F104" s="24"/>
      <c r="G104" s="22"/>
      <c r="H104" s="23"/>
      <c r="I104" s="24"/>
      <c r="J104" s="22"/>
      <c r="K104" s="23"/>
      <c r="L104" s="24"/>
      <c r="M104" s="22"/>
      <c r="N104" s="23"/>
      <c r="O104" s="24"/>
      <c r="P104" s="22"/>
      <c r="Q104" s="23"/>
      <c r="R104" s="24"/>
      <c r="S104" s="22"/>
      <c r="T104" s="23"/>
      <c r="U104" s="24"/>
    </row>
    <row r="105" spans="2:21" ht="15.6">
      <c r="B105" s="11">
        <v>8</v>
      </c>
      <c r="C105" s="74"/>
      <c r="D105" s="22"/>
      <c r="E105" s="23"/>
      <c r="F105" s="24"/>
      <c r="G105" s="22"/>
      <c r="H105" s="23"/>
      <c r="I105" s="24"/>
      <c r="J105" s="22"/>
      <c r="K105" s="23"/>
      <c r="L105" s="24"/>
      <c r="M105" s="22"/>
      <c r="N105" s="23"/>
      <c r="O105" s="24"/>
      <c r="P105" s="22"/>
      <c r="Q105" s="23"/>
      <c r="R105" s="24"/>
      <c r="S105" s="22"/>
      <c r="T105" s="23"/>
      <c r="U105" s="24"/>
    </row>
    <row r="106" spans="2:21" ht="15.6">
      <c r="B106" s="11">
        <v>9</v>
      </c>
      <c r="C106" s="74"/>
      <c r="D106" s="22"/>
      <c r="E106" s="23"/>
      <c r="F106" s="24"/>
      <c r="G106" s="22"/>
      <c r="H106" s="23"/>
      <c r="I106" s="24"/>
      <c r="J106" s="22"/>
      <c r="K106" s="23"/>
      <c r="L106" s="24"/>
      <c r="M106" s="22"/>
      <c r="N106" s="23"/>
      <c r="O106" s="24"/>
      <c r="P106" s="22"/>
      <c r="Q106" s="23"/>
      <c r="R106" s="24"/>
      <c r="S106" s="22"/>
      <c r="T106" s="23"/>
      <c r="U106" s="24"/>
    </row>
    <row r="107" spans="2:21" ht="16.2" thickBot="1">
      <c r="B107" s="11">
        <v>10</v>
      </c>
      <c r="C107" s="74"/>
      <c r="D107" s="22"/>
      <c r="E107" s="23"/>
      <c r="F107" s="24"/>
      <c r="G107" s="22"/>
      <c r="H107" s="23"/>
      <c r="I107" s="24"/>
      <c r="J107" s="22"/>
      <c r="K107" s="23"/>
      <c r="L107" s="24"/>
      <c r="M107" s="22"/>
      <c r="N107" s="23"/>
      <c r="O107" s="24"/>
      <c r="P107" s="22"/>
      <c r="Q107" s="23"/>
      <c r="R107" s="24"/>
      <c r="S107" s="22"/>
      <c r="T107" s="23"/>
      <c r="U107" s="24"/>
    </row>
    <row r="108" spans="2:21">
      <c r="B108" s="142" t="s">
        <v>14</v>
      </c>
      <c r="C108" s="143"/>
      <c r="D108" s="149">
        <f>(COUNTIF(D98:D107, "X"))/((COUNTA($C$63:$C$72))-(COUNTA(F98:F107)))</f>
        <v>0</v>
      </c>
      <c r="E108" s="150"/>
      <c r="F108" s="151"/>
      <c r="G108" s="149">
        <f>(COUNTIF(G98:G107, "X"))/((COUNTA($C$63:$C$72))-(COUNTA(I98:I107)))</f>
        <v>0</v>
      </c>
      <c r="H108" s="150"/>
      <c r="I108" s="151"/>
      <c r="J108" s="149">
        <f>(COUNTIF(J98:J107, "X"))/((COUNTA($C$63:$C$72))-(COUNTA(L98:L107)))</f>
        <v>0</v>
      </c>
      <c r="K108" s="150"/>
      <c r="L108" s="151"/>
      <c r="M108" s="149">
        <f>(COUNTIF(M98:M107, "X"))/((COUNTA($C$63:$C$72))-(COUNTA(O98:O107)))</f>
        <v>0</v>
      </c>
      <c r="N108" s="150"/>
      <c r="O108" s="151"/>
      <c r="P108" s="149">
        <f>(COUNTIF(P98:P107, "X"))/((COUNTA($C$63:$C$72))-(COUNTA(R98:R107)))</f>
        <v>0</v>
      </c>
      <c r="Q108" s="150"/>
      <c r="R108" s="151"/>
      <c r="S108" s="149">
        <f>(COUNTIF(S98:S107, "X"))/((COUNTA($C$63:$C$72))-(COUNTA(U98:U107)))</f>
        <v>0</v>
      </c>
      <c r="T108" s="150"/>
      <c r="U108" s="151"/>
    </row>
    <row r="109" spans="2:21">
      <c r="B109" s="147" t="s">
        <v>129</v>
      </c>
      <c r="C109" s="148"/>
      <c r="D109" s="16"/>
      <c r="E109" s="5"/>
      <c r="F109" s="17"/>
      <c r="G109" s="16"/>
      <c r="H109" s="5"/>
      <c r="I109" s="17"/>
      <c r="J109" s="16"/>
      <c r="K109" s="5"/>
      <c r="L109" s="17"/>
      <c r="M109" s="16"/>
      <c r="N109" s="5"/>
      <c r="O109" s="17"/>
      <c r="P109" s="16"/>
      <c r="Q109" s="5"/>
      <c r="R109" s="17"/>
      <c r="S109" s="16"/>
      <c r="T109" s="5"/>
      <c r="U109" s="17"/>
    </row>
    <row r="110" spans="2:21" ht="15.6">
      <c r="B110" s="11">
        <v>1</v>
      </c>
      <c r="C110" s="72"/>
      <c r="D110" s="11"/>
      <c r="E110" s="2"/>
      <c r="F110" s="12"/>
      <c r="G110" s="11"/>
      <c r="H110" s="2"/>
      <c r="I110" s="12"/>
      <c r="J110" s="11"/>
      <c r="K110" s="2"/>
      <c r="L110" s="12"/>
      <c r="M110" s="11"/>
      <c r="N110" s="2"/>
      <c r="O110" s="12"/>
      <c r="P110" s="11"/>
      <c r="Q110" s="2"/>
      <c r="R110" s="12"/>
      <c r="S110" s="11"/>
      <c r="T110" s="2"/>
      <c r="U110" s="12"/>
    </row>
    <row r="111" spans="2:21" ht="15.6">
      <c r="B111" s="11">
        <v>2</v>
      </c>
      <c r="C111" s="72"/>
      <c r="D111" s="11"/>
      <c r="E111" s="2"/>
      <c r="F111" s="12"/>
      <c r="G111" s="11"/>
      <c r="H111" s="2"/>
      <c r="I111" s="12"/>
      <c r="J111" s="11"/>
      <c r="K111" s="2"/>
      <c r="L111" s="12"/>
      <c r="M111" s="11"/>
      <c r="N111" s="2"/>
      <c r="O111" s="12"/>
      <c r="P111" s="11"/>
      <c r="Q111" s="2"/>
      <c r="R111" s="12"/>
      <c r="S111" s="11"/>
      <c r="T111" s="2"/>
      <c r="U111" s="12"/>
    </row>
    <row r="112" spans="2:21" ht="15.6">
      <c r="B112" s="11">
        <v>3</v>
      </c>
      <c r="C112" s="72"/>
      <c r="D112" s="11"/>
      <c r="E112" s="2"/>
      <c r="F112" s="12"/>
      <c r="G112" s="11"/>
      <c r="H112" s="2"/>
      <c r="I112" s="12"/>
      <c r="J112" s="11"/>
      <c r="K112" s="2"/>
      <c r="L112" s="12"/>
      <c r="M112" s="11"/>
      <c r="N112" s="2"/>
      <c r="O112" s="12"/>
      <c r="P112" s="11"/>
      <c r="Q112" s="2"/>
      <c r="R112" s="12"/>
      <c r="S112" s="11"/>
      <c r="T112" s="2"/>
      <c r="U112" s="12"/>
    </row>
    <row r="113" spans="2:21" ht="15.6">
      <c r="B113" s="11">
        <v>4</v>
      </c>
      <c r="C113" s="74"/>
      <c r="D113" s="22"/>
      <c r="E113" s="23"/>
      <c r="F113" s="24"/>
      <c r="G113" s="22"/>
      <c r="H113" s="23"/>
      <c r="I113" s="24"/>
      <c r="J113" s="22"/>
      <c r="K113" s="23"/>
      <c r="L113" s="24"/>
      <c r="M113" s="22"/>
      <c r="N113" s="23"/>
      <c r="O113" s="24"/>
      <c r="P113" s="22"/>
      <c r="Q113" s="23"/>
      <c r="R113" s="24"/>
      <c r="S113" s="22"/>
      <c r="T113" s="23"/>
      <c r="U113" s="24"/>
    </row>
    <row r="114" spans="2:21" ht="15.6">
      <c r="B114" s="11">
        <v>5</v>
      </c>
      <c r="C114" s="74"/>
      <c r="D114" s="22"/>
      <c r="E114" s="23"/>
      <c r="F114" s="24"/>
      <c r="G114" s="22"/>
      <c r="H114" s="23"/>
      <c r="I114" s="24"/>
      <c r="J114" s="22"/>
      <c r="K114" s="23"/>
      <c r="L114" s="24"/>
      <c r="M114" s="22"/>
      <c r="N114" s="23"/>
      <c r="O114" s="24"/>
      <c r="P114" s="22"/>
      <c r="Q114" s="23"/>
      <c r="R114" s="24"/>
      <c r="S114" s="22"/>
      <c r="T114" s="23"/>
      <c r="U114" s="24"/>
    </row>
    <row r="115" spans="2:21" ht="15.6">
      <c r="B115" s="11">
        <v>6</v>
      </c>
      <c r="C115" s="74"/>
      <c r="D115" s="22"/>
      <c r="E115" s="23"/>
      <c r="F115" s="24"/>
      <c r="G115" s="22"/>
      <c r="H115" s="23"/>
      <c r="I115" s="24"/>
      <c r="J115" s="22"/>
      <c r="K115" s="23"/>
      <c r="L115" s="24"/>
      <c r="M115" s="22"/>
      <c r="N115" s="23"/>
      <c r="O115" s="24"/>
      <c r="P115" s="22"/>
      <c r="Q115" s="23"/>
      <c r="R115" s="24"/>
      <c r="S115" s="22"/>
      <c r="T115" s="23"/>
      <c r="U115" s="24"/>
    </row>
    <row r="116" spans="2:21" ht="15.6">
      <c r="B116" s="11">
        <v>7</v>
      </c>
      <c r="C116" s="74"/>
      <c r="D116" s="22"/>
      <c r="E116" s="23"/>
      <c r="F116" s="24"/>
      <c r="G116" s="22"/>
      <c r="H116" s="23"/>
      <c r="I116" s="24"/>
      <c r="J116" s="22"/>
      <c r="K116" s="23"/>
      <c r="L116" s="24"/>
      <c r="M116" s="22"/>
      <c r="N116" s="23"/>
      <c r="O116" s="24"/>
      <c r="P116" s="22"/>
      <c r="Q116" s="23"/>
      <c r="R116" s="24"/>
      <c r="S116" s="22"/>
      <c r="T116" s="23"/>
      <c r="U116" s="24"/>
    </row>
    <row r="117" spans="2:21" ht="15.6">
      <c r="B117" s="11">
        <v>8</v>
      </c>
      <c r="C117" s="74"/>
      <c r="D117" s="22"/>
      <c r="E117" s="23"/>
      <c r="F117" s="24"/>
      <c r="G117" s="22"/>
      <c r="H117" s="23"/>
      <c r="I117" s="24"/>
      <c r="J117" s="22"/>
      <c r="K117" s="23"/>
      <c r="L117" s="24"/>
      <c r="M117" s="22"/>
      <c r="N117" s="23"/>
      <c r="O117" s="24"/>
      <c r="P117" s="22"/>
      <c r="Q117" s="23"/>
      <c r="R117" s="24"/>
      <c r="S117" s="22"/>
      <c r="T117" s="23"/>
      <c r="U117" s="24"/>
    </row>
    <row r="118" spans="2:21" ht="15.6">
      <c r="B118" s="11">
        <v>9</v>
      </c>
      <c r="C118" s="74"/>
      <c r="D118" s="22"/>
      <c r="E118" s="23"/>
      <c r="F118" s="24"/>
      <c r="G118" s="22"/>
      <c r="H118" s="23"/>
      <c r="I118" s="24"/>
      <c r="J118" s="22"/>
      <c r="K118" s="23"/>
      <c r="L118" s="24"/>
      <c r="M118" s="22"/>
      <c r="N118" s="23"/>
      <c r="O118" s="24"/>
      <c r="P118" s="22"/>
      <c r="Q118" s="23"/>
      <c r="R118" s="24"/>
      <c r="S118" s="22"/>
      <c r="T118" s="23"/>
      <c r="U118" s="24"/>
    </row>
    <row r="119" spans="2:21" ht="16.2" thickBot="1">
      <c r="B119" s="11">
        <v>10</v>
      </c>
      <c r="C119" s="74"/>
      <c r="D119" s="22"/>
      <c r="E119" s="23"/>
      <c r="F119" s="24"/>
      <c r="G119" s="22"/>
      <c r="H119" s="23"/>
      <c r="I119" s="24"/>
      <c r="J119" s="22"/>
      <c r="K119" s="23"/>
      <c r="L119" s="24"/>
      <c r="M119" s="22"/>
      <c r="N119" s="23"/>
      <c r="O119" s="24"/>
      <c r="P119" s="22"/>
      <c r="Q119" s="23"/>
      <c r="R119" s="24"/>
      <c r="S119" s="22"/>
      <c r="T119" s="23"/>
      <c r="U119" s="24"/>
    </row>
    <row r="120" spans="2:21">
      <c r="B120" s="142" t="s">
        <v>14</v>
      </c>
      <c r="C120" s="143"/>
      <c r="D120" s="149">
        <f>(COUNTIF(D110:D119, "X"))/((COUNTA($C$63:$C$72))-(COUNTA(F110:F119)))</f>
        <v>0</v>
      </c>
      <c r="E120" s="150"/>
      <c r="F120" s="151"/>
      <c r="G120" s="149">
        <f>(COUNTIF(G110:G119, "X"))/((COUNTA($C$63:$C$72))-(COUNTA(I110:I119)))</f>
        <v>0</v>
      </c>
      <c r="H120" s="150"/>
      <c r="I120" s="151"/>
      <c r="J120" s="149">
        <f>(COUNTIF(J110:J119, "X"))/((COUNTA($C$63:$C$72))-(COUNTA(L110:L119)))</f>
        <v>0</v>
      </c>
      <c r="K120" s="150"/>
      <c r="L120" s="151"/>
      <c r="M120" s="149">
        <f>(COUNTIF(M110:M119, "X"))/((COUNTA($C$63:$C$72))-(COUNTA(O110:O119)))</f>
        <v>0</v>
      </c>
      <c r="N120" s="150"/>
      <c r="O120" s="151"/>
      <c r="P120" s="149">
        <f>(COUNTIF(P110:P119, "X"))/((COUNTA($C$63:$C$72))-(COUNTA(R110:R119)))</f>
        <v>0</v>
      </c>
      <c r="Q120" s="150"/>
      <c r="R120" s="151"/>
      <c r="S120" s="149">
        <f>(COUNTIF(S110:S119, "X"))/((COUNTA($C$63:$C$72))-(COUNTA(U110:U119)))</f>
        <v>0</v>
      </c>
      <c r="T120" s="150"/>
      <c r="U120" s="151"/>
    </row>
  </sheetData>
  <mergeCells count="67">
    <mergeCell ref="B49:C49"/>
    <mergeCell ref="D49:F49"/>
    <mergeCell ref="G49:I49"/>
    <mergeCell ref="J49:L49"/>
    <mergeCell ref="B2:C3"/>
    <mergeCell ref="E2:F3"/>
    <mergeCell ref="B32:C32"/>
    <mergeCell ref="D32:F32"/>
    <mergeCell ref="G32:I32"/>
    <mergeCell ref="J32:L32"/>
    <mergeCell ref="B4:C4"/>
    <mergeCell ref="B17:C17"/>
    <mergeCell ref="D17:F17"/>
    <mergeCell ref="G17:I17"/>
    <mergeCell ref="J17:L17"/>
    <mergeCell ref="H2:I3"/>
    <mergeCell ref="B50:C50"/>
    <mergeCell ref="B61:C61"/>
    <mergeCell ref="D61:F61"/>
    <mergeCell ref="G61:I61"/>
    <mergeCell ref="J61:L61"/>
    <mergeCell ref="K2:L3"/>
    <mergeCell ref="N2:O3"/>
    <mergeCell ref="Q2:R3"/>
    <mergeCell ref="P76:R76"/>
    <mergeCell ref="P49:R49"/>
    <mergeCell ref="P61:R61"/>
    <mergeCell ref="P17:R17"/>
    <mergeCell ref="P32:R32"/>
    <mergeCell ref="M76:O76"/>
    <mergeCell ref="M61:O61"/>
    <mergeCell ref="M49:O49"/>
    <mergeCell ref="B76:C76"/>
    <mergeCell ref="D76:F76"/>
    <mergeCell ref="G76:I76"/>
    <mergeCell ref="J76:L76"/>
    <mergeCell ref="B96:C96"/>
    <mergeCell ref="D96:F96"/>
    <mergeCell ref="G96:I96"/>
    <mergeCell ref="J96:L96"/>
    <mergeCell ref="B97:C97"/>
    <mergeCell ref="B108:C108"/>
    <mergeCell ref="D108:F108"/>
    <mergeCell ref="G108:I108"/>
    <mergeCell ref="J108:L108"/>
    <mergeCell ref="P108:R108"/>
    <mergeCell ref="S108:U108"/>
    <mergeCell ref="S96:U96"/>
    <mergeCell ref="S2:U3"/>
    <mergeCell ref="M96:O96"/>
    <mergeCell ref="P96:R96"/>
    <mergeCell ref="S17:U17"/>
    <mergeCell ref="S32:U32"/>
    <mergeCell ref="S49:U49"/>
    <mergeCell ref="S61:U61"/>
    <mergeCell ref="S76:U76"/>
    <mergeCell ref="M17:O17"/>
    <mergeCell ref="M32:O32"/>
    <mergeCell ref="M108:O108"/>
    <mergeCell ref="M120:O120"/>
    <mergeCell ref="P120:R120"/>
    <mergeCell ref="S120:U120"/>
    <mergeCell ref="B109:C109"/>
    <mergeCell ref="B120:C120"/>
    <mergeCell ref="D120:F120"/>
    <mergeCell ref="G120:I120"/>
    <mergeCell ref="J120:L12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3A8D-BBE6-46E9-BA51-D16AB814223C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FC3E-1AA5-489A-BE13-B6B62D2C2699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9DFBB40A330147AD81DA264D11333F" ma:contentTypeVersion="13" ma:contentTypeDescription="Create a new document." ma:contentTypeScope="" ma:versionID="59e397f44c955c35727fa31b0da7a474">
  <xsd:schema xmlns:xsd="http://www.w3.org/2001/XMLSchema" xmlns:xs="http://www.w3.org/2001/XMLSchema" xmlns:p="http://schemas.microsoft.com/office/2006/metadata/properties" xmlns:ns3="c6dde238-43b1-4cbb-aebf-4ee80fb49215" xmlns:ns4="174d4c6b-f5b6-4bc7-8fed-f8cb7ed008e5" targetNamespace="http://schemas.microsoft.com/office/2006/metadata/properties" ma:root="true" ma:fieldsID="8dc2e4395a216a3369245e638a9e895c" ns3:_="" ns4:_="">
    <xsd:import namespace="c6dde238-43b1-4cbb-aebf-4ee80fb49215"/>
    <xsd:import namespace="174d4c6b-f5b6-4bc7-8fed-f8cb7ed008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de238-43b1-4cbb-aebf-4ee80fb492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d4c6b-f5b6-4bc7-8fed-f8cb7ed00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480A8-9C4D-46CE-A57D-79522EF28D19}">
  <ds:schemaRefs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c6dde238-43b1-4cbb-aebf-4ee80fb49215"/>
    <ds:schemaRef ds:uri="http://schemas.microsoft.com/office/infopath/2007/PartnerControls"/>
    <ds:schemaRef ds:uri="174d4c6b-f5b6-4bc7-8fed-f8cb7ed008e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EDE5B5-0277-4C5E-A4A5-B7145502CD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AC9C87-3949-412C-B644-3D6106462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dde238-43b1-4cbb-aebf-4ee80fb49215"/>
    <ds:schemaRef ds:uri="174d4c6b-f5b6-4bc7-8fed-f8cb7ed00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Check-list</vt:lpstr>
      <vt:lpstr>Maquinas07 (2)</vt:lpstr>
      <vt:lpstr>Ins planta Enero 2026 (2)</vt:lpstr>
      <vt:lpstr>Isp Bodega Enero 2026 (2)</vt:lpstr>
      <vt:lpstr>Ins planta Febrero 2026 (2)</vt:lpstr>
      <vt:lpstr>Isp Bodega Febrero 2026 (2)</vt:lpstr>
      <vt:lpstr>Ins planta Marzo 2026 (2)</vt:lpstr>
      <vt:lpstr>Isp Bodega Marzo 2026 (2)</vt:lpstr>
      <vt:lpstr>Ins planta Abril 2026 (2)</vt:lpstr>
      <vt:lpstr>Isp Bodega ABRIL 2026 (2)</vt:lpstr>
      <vt:lpstr>Ins planta Mayo 2026</vt:lpstr>
      <vt:lpstr>Isp Bodega Mayo 2026</vt:lpstr>
      <vt:lpstr>Hoja1</vt:lpstr>
      <vt:lpstr>Hoja3</vt:lpstr>
      <vt:lpstr>'Check-list'!Área_de_impresión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Guardado Carlos Jose</dc:creator>
  <cp:lastModifiedBy>Planificador02</cp:lastModifiedBy>
  <cp:lastPrinted>2021-08-16T21:46:38Z</cp:lastPrinted>
  <dcterms:created xsi:type="dcterms:W3CDTF">2021-08-09T17:04:06Z</dcterms:created>
  <dcterms:modified xsi:type="dcterms:W3CDTF">2026-05-12T20:05:41Z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0x010100849DFBB40A330147AD81DA264D11333F</vt:lpwstr>
  </property>
</Properties>
</file>